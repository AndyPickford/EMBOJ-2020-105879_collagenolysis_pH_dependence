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Manuscripts &amp; Publications\Pickford publications\20180209 domain-stapled (pro)MMP-1\Manuscript\For submission to EMBO J\Github\"/>
    </mc:Choice>
  </mc:AlternateContent>
  <xr:revisionPtr revIDLastSave="0" documentId="13_ncr:1_{BA419FD8-EB74-427D-BE92-32C54633B507}" xr6:coauthVersionLast="44" xr6:coauthVersionMax="44" xr10:uidLastSave="{00000000-0000-0000-0000-000000000000}"/>
  <bookViews>
    <workbookView xWindow="-120" yWindow="-120" windowWidth="29040" windowHeight="15840" tabRatio="566" xr2:uid="{00000000-000D-0000-FFFF-FFFF00000000}"/>
  </bookViews>
  <sheets>
    <sheet name="a1(I)" sheetId="53" r:id="rId1"/>
  </sheets>
  <functionGroups builtInGroupCount="19"/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solver_adj" localSheetId="0" hidden="1">'a1(I)'!$S$5:$U$5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'a1(I)'!$W$5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8" i="53" l="1"/>
  <c r="T8" i="53"/>
  <c r="BE12" i="53"/>
  <c r="C5" i="53"/>
  <c r="C6" i="53"/>
  <c r="C7" i="53"/>
  <c r="C8" i="53"/>
  <c r="D5" i="53"/>
  <c r="D6" i="53"/>
  <c r="D7" i="53"/>
  <c r="D8" i="53"/>
  <c r="E5" i="53"/>
  <c r="E6" i="53"/>
  <c r="E7" i="53"/>
  <c r="E8" i="53"/>
  <c r="F5" i="53"/>
  <c r="F6" i="53"/>
  <c r="F7" i="53"/>
  <c r="F8" i="53"/>
  <c r="G5" i="53"/>
  <c r="G6" i="53"/>
  <c r="G7" i="53"/>
  <c r="G8" i="53"/>
  <c r="H5" i="53"/>
  <c r="H6" i="53"/>
  <c r="H7" i="53"/>
  <c r="H8" i="53"/>
  <c r="I5" i="53"/>
  <c r="I6" i="53"/>
  <c r="I7" i="53"/>
  <c r="I8" i="53"/>
  <c r="J5" i="53"/>
  <c r="J6" i="53"/>
  <c r="J7" i="53"/>
  <c r="J8" i="53"/>
  <c r="K5" i="53"/>
  <c r="K6" i="53"/>
  <c r="K7" i="53"/>
  <c r="K8" i="53"/>
  <c r="L5" i="53"/>
  <c r="L6" i="53"/>
  <c r="L7" i="53"/>
  <c r="L8" i="53"/>
  <c r="M5" i="53"/>
  <c r="M6" i="53"/>
  <c r="M7" i="53"/>
  <c r="M8" i="53"/>
  <c r="N5" i="53"/>
  <c r="N6" i="53"/>
  <c r="N7" i="53"/>
  <c r="N8" i="53"/>
  <c r="O5" i="53"/>
  <c r="O6" i="53"/>
  <c r="O7" i="53"/>
  <c r="O8" i="53"/>
  <c r="P5" i="53"/>
  <c r="P6" i="53"/>
  <c r="P7" i="53"/>
  <c r="P8" i="53"/>
  <c r="Q5" i="53"/>
  <c r="Q6" i="53"/>
  <c r="Q7" i="53"/>
  <c r="Q8" i="53"/>
  <c r="BE13" i="53"/>
  <c r="BF12" i="53"/>
  <c r="BF13" i="53"/>
  <c r="BG12" i="53"/>
  <c r="BG13" i="53"/>
  <c r="BH12" i="53"/>
  <c r="BH13" i="53"/>
  <c r="BI12" i="53"/>
  <c r="BI13" i="53"/>
  <c r="BJ12" i="53"/>
  <c r="BJ13" i="53"/>
  <c r="BK12" i="53"/>
  <c r="BK13" i="53"/>
  <c r="BL12" i="53"/>
  <c r="BL13" i="53"/>
  <c r="BM12" i="53"/>
  <c r="BM13" i="53"/>
  <c r="BN12" i="53"/>
  <c r="BN13" i="53"/>
  <c r="BO12" i="53"/>
  <c r="BO13" i="53"/>
  <c r="BP12" i="53"/>
  <c r="BP13" i="53"/>
  <c r="BQ12" i="53"/>
  <c r="BQ13" i="53"/>
  <c r="BR12" i="53"/>
  <c r="BR13" i="53"/>
  <c r="BS12" i="53"/>
  <c r="BS13" i="53"/>
  <c r="BT12" i="53"/>
  <c r="BT13" i="53"/>
  <c r="BU12" i="53"/>
  <c r="BU13" i="53"/>
  <c r="BV12" i="53"/>
  <c r="BV13" i="53"/>
  <c r="BW12" i="53"/>
  <c r="BW13" i="53"/>
  <c r="BX12" i="53"/>
  <c r="BX13" i="53"/>
  <c r="BY12" i="53"/>
  <c r="BY13" i="53"/>
  <c r="BZ12" i="53"/>
  <c r="BZ13" i="53"/>
  <c r="CA12" i="53"/>
  <c r="CA13" i="53"/>
  <c r="CB12" i="53"/>
  <c r="CB13" i="53"/>
  <c r="CC12" i="53"/>
  <c r="CC13" i="53"/>
  <c r="CD12" i="53"/>
  <c r="CD13" i="53"/>
  <c r="CE12" i="53"/>
  <c r="CE13" i="53"/>
  <c r="CF12" i="53"/>
  <c r="CF13" i="53"/>
  <c r="CG12" i="53"/>
  <c r="CG13" i="53"/>
  <c r="CH12" i="53"/>
  <c r="CH13" i="53"/>
  <c r="CI12" i="53"/>
  <c r="CI13" i="53"/>
  <c r="CJ12" i="53"/>
  <c r="CJ13" i="53"/>
  <c r="CK12" i="53"/>
  <c r="CK13" i="53"/>
  <c r="CL12" i="53"/>
  <c r="CL13" i="53"/>
  <c r="CM12" i="53"/>
  <c r="CM13" i="53"/>
  <c r="CN12" i="53"/>
  <c r="CN13" i="53"/>
  <c r="CO12" i="53"/>
  <c r="CO13" i="53"/>
  <c r="CP12" i="53"/>
  <c r="CP13" i="53"/>
  <c r="CQ12" i="53"/>
  <c r="CQ13" i="53"/>
  <c r="CR12" i="53"/>
  <c r="CR13" i="53"/>
  <c r="CS12" i="53"/>
  <c r="CS13" i="53"/>
  <c r="CT12" i="53"/>
  <c r="CT13" i="53"/>
  <c r="CU12" i="53"/>
  <c r="CU13" i="53"/>
  <c r="CV12" i="53"/>
  <c r="CV13" i="53"/>
  <c r="CW12" i="53"/>
  <c r="CW13" i="53"/>
  <c r="CX12" i="53"/>
  <c r="CX13" i="53"/>
  <c r="CY12" i="53"/>
  <c r="CY13" i="53"/>
  <c r="CZ12" i="53"/>
  <c r="CZ13" i="53"/>
  <c r="DA12" i="53"/>
  <c r="DA13" i="53"/>
  <c r="DB12" i="53"/>
  <c r="DB13" i="53"/>
  <c r="DC12" i="53"/>
  <c r="DC13" i="53"/>
  <c r="DD12" i="53"/>
  <c r="DD13" i="53"/>
  <c r="DE12" i="53"/>
  <c r="DE13" i="53"/>
  <c r="DF12" i="53"/>
  <c r="DF13" i="53"/>
  <c r="DG12" i="53"/>
  <c r="DG13" i="53"/>
  <c r="DH12" i="53"/>
  <c r="DH13" i="53"/>
  <c r="DI12" i="53"/>
  <c r="DI13" i="53"/>
  <c r="DJ12" i="53"/>
  <c r="DJ13" i="53"/>
  <c r="DK12" i="53"/>
  <c r="DK13" i="53"/>
  <c r="DL12" i="53"/>
  <c r="DL13" i="53"/>
  <c r="DM12" i="53"/>
  <c r="DM13" i="53"/>
  <c r="DN12" i="53"/>
  <c r="DN13" i="53"/>
  <c r="DO12" i="53"/>
  <c r="DO13" i="53"/>
  <c r="DP12" i="53"/>
  <c r="DP13" i="53"/>
  <c r="DQ12" i="53"/>
  <c r="DQ13" i="53"/>
  <c r="DR12" i="53"/>
  <c r="DR13" i="53"/>
  <c r="DS12" i="53"/>
  <c r="DS13" i="53"/>
  <c r="DT12" i="53"/>
  <c r="DT13" i="53"/>
  <c r="DU12" i="53"/>
  <c r="DU13" i="53"/>
  <c r="DV12" i="53"/>
  <c r="DV13" i="53"/>
  <c r="DW12" i="53"/>
  <c r="DW13" i="53"/>
  <c r="DX12" i="53"/>
  <c r="DX13" i="53"/>
  <c r="DY12" i="53"/>
  <c r="DY13" i="53"/>
  <c r="DZ12" i="53"/>
  <c r="DZ13" i="53"/>
  <c r="EA12" i="53"/>
  <c r="EA13" i="53"/>
  <c r="EB12" i="53"/>
  <c r="EB13" i="53"/>
  <c r="EC12" i="53"/>
  <c r="EC13" i="53"/>
  <c r="ED12" i="53"/>
  <c r="ED13" i="53"/>
  <c r="EE12" i="53"/>
  <c r="EE13" i="53"/>
  <c r="EF12" i="53"/>
  <c r="EF13" i="53"/>
  <c r="EG12" i="53"/>
  <c r="EG13" i="53"/>
  <c r="EH13" i="53"/>
  <c r="J61" i="53"/>
  <c r="K61" i="53"/>
  <c r="J62" i="53"/>
  <c r="K62" i="53"/>
  <c r="K63" i="53"/>
  <c r="K64" i="53"/>
  <c r="J63" i="53"/>
  <c r="J64" i="53"/>
  <c r="P32" i="53"/>
  <c r="L32" i="53"/>
  <c r="Q32" i="53"/>
  <c r="M32" i="53"/>
  <c r="O32" i="53"/>
  <c r="N32" i="53"/>
  <c r="G32" i="53"/>
  <c r="K32" i="53"/>
  <c r="D32" i="53"/>
  <c r="H32" i="53"/>
  <c r="E32" i="53"/>
  <c r="I32" i="53"/>
  <c r="F32" i="53"/>
  <c r="J32" i="53"/>
  <c r="C32" i="53"/>
  <c r="Y33" i="53"/>
  <c r="Z33" i="53"/>
  <c r="AA33" i="53"/>
  <c r="AB33" i="53"/>
  <c r="AC33" i="53"/>
  <c r="AD33" i="53"/>
  <c r="AE33" i="53"/>
  <c r="AF33" i="53"/>
  <c r="AG33" i="53"/>
  <c r="AH33" i="53"/>
  <c r="AI33" i="53"/>
  <c r="AJ33" i="53"/>
  <c r="AK33" i="53"/>
  <c r="AL33" i="53"/>
  <c r="AM33" i="53"/>
  <c r="Y34" i="53"/>
  <c r="Z34" i="53"/>
  <c r="AA34" i="53"/>
  <c r="AB34" i="53"/>
  <c r="AC34" i="53"/>
  <c r="AD34" i="53"/>
  <c r="AE34" i="53"/>
  <c r="AF34" i="53"/>
  <c r="AG34" i="53"/>
  <c r="AH34" i="53"/>
  <c r="AI34" i="53"/>
  <c r="AJ34" i="53"/>
  <c r="AK34" i="53"/>
  <c r="AL34" i="53"/>
  <c r="AM34" i="53"/>
  <c r="AM32" i="53"/>
  <c r="BC32" i="53"/>
  <c r="AL32" i="53"/>
  <c r="BB32" i="53"/>
  <c r="AK32" i="53"/>
  <c r="AJ32" i="53"/>
  <c r="AZ32" i="53"/>
  <c r="AI32" i="53"/>
  <c r="AY32" i="53"/>
  <c r="AH32" i="53"/>
  <c r="AX32" i="53"/>
  <c r="AG32" i="53"/>
  <c r="AW32" i="53"/>
  <c r="AF32" i="53"/>
  <c r="AV32" i="53"/>
  <c r="AE32" i="53"/>
  <c r="AU32" i="53"/>
  <c r="AD32" i="53"/>
  <c r="AT32" i="53"/>
  <c r="AC32" i="53"/>
  <c r="AS32" i="53"/>
  <c r="AB32" i="53"/>
  <c r="AR32" i="53"/>
  <c r="AA32" i="53"/>
  <c r="AQ32" i="53"/>
  <c r="Z32" i="53"/>
  <c r="AP32" i="53"/>
  <c r="Y32" i="53"/>
  <c r="AO32" i="53"/>
  <c r="AM25" i="53"/>
  <c r="AL25" i="53"/>
  <c r="AK25" i="53"/>
  <c r="AJ25" i="53"/>
  <c r="AI25" i="53"/>
  <c r="AH25" i="53"/>
  <c r="AG25" i="53"/>
  <c r="AF25" i="53"/>
  <c r="AE25" i="53"/>
  <c r="AD25" i="53"/>
  <c r="AC25" i="53"/>
  <c r="AB25" i="53"/>
  <c r="AA25" i="53"/>
  <c r="Z25" i="53"/>
  <c r="Y25" i="53"/>
  <c r="AM24" i="53"/>
  <c r="AL24" i="53"/>
  <c r="AK24" i="53"/>
  <c r="AJ24" i="53"/>
  <c r="AI24" i="53"/>
  <c r="AH24" i="53"/>
  <c r="AG24" i="53"/>
  <c r="AF24" i="53"/>
  <c r="AE24" i="53"/>
  <c r="AD24" i="53"/>
  <c r="AC24" i="53"/>
  <c r="AB24" i="53"/>
  <c r="AA24" i="53"/>
  <c r="Z24" i="53"/>
  <c r="Y24" i="53"/>
  <c r="AM23" i="53"/>
  <c r="AL23" i="53"/>
  <c r="AK23" i="53"/>
  <c r="AJ23" i="53"/>
  <c r="AI23" i="53"/>
  <c r="AH23" i="53"/>
  <c r="AG23" i="53"/>
  <c r="AF23" i="53"/>
  <c r="AE23" i="53"/>
  <c r="AD23" i="53"/>
  <c r="AC23" i="53"/>
  <c r="AB23" i="53"/>
  <c r="AA23" i="53"/>
  <c r="Z23" i="53"/>
  <c r="Y23" i="53"/>
  <c r="AM16" i="53"/>
  <c r="AL16" i="53"/>
  <c r="AK16" i="53"/>
  <c r="AJ16" i="53"/>
  <c r="AI16" i="53"/>
  <c r="AH16" i="53"/>
  <c r="AG16" i="53"/>
  <c r="AF16" i="53"/>
  <c r="AE16" i="53"/>
  <c r="AD16" i="53"/>
  <c r="AC16" i="53"/>
  <c r="AB16" i="53"/>
  <c r="AA16" i="53"/>
  <c r="Z16" i="53"/>
  <c r="Y16" i="53"/>
  <c r="AM15" i="53"/>
  <c r="AL15" i="53"/>
  <c r="AK15" i="53"/>
  <c r="AJ15" i="53"/>
  <c r="AI15" i="53"/>
  <c r="AH15" i="53"/>
  <c r="AG15" i="53"/>
  <c r="AF15" i="53"/>
  <c r="AE15" i="53"/>
  <c r="AD15" i="53"/>
  <c r="AC15" i="53"/>
  <c r="AB15" i="53"/>
  <c r="AA15" i="53"/>
  <c r="Z15" i="53"/>
  <c r="Y15" i="53"/>
  <c r="AM14" i="53"/>
  <c r="AL14" i="53"/>
  <c r="AK14" i="53"/>
  <c r="AJ14" i="53"/>
  <c r="AI14" i="53"/>
  <c r="AH14" i="53"/>
  <c r="AG14" i="53"/>
  <c r="AF14" i="53"/>
  <c r="AE14" i="53"/>
  <c r="AD14" i="53"/>
  <c r="AC14" i="53"/>
  <c r="AB14" i="53"/>
  <c r="AA14" i="53"/>
  <c r="Z14" i="53"/>
  <c r="Y14" i="53"/>
  <c r="U36" i="53"/>
  <c r="U35" i="53"/>
  <c r="U27" i="53"/>
  <c r="U26" i="53"/>
  <c r="U18" i="53"/>
  <c r="U17" i="53"/>
  <c r="Z5" i="53"/>
  <c r="AA5" i="53"/>
  <c r="AB5" i="53"/>
  <c r="AC5" i="53"/>
  <c r="AD5" i="53"/>
  <c r="AE5" i="53"/>
  <c r="AF5" i="53"/>
  <c r="AG5" i="53"/>
  <c r="AH5" i="53"/>
  <c r="AI5" i="53"/>
  <c r="AJ5" i="53"/>
  <c r="AK5" i="53"/>
  <c r="AL5" i="53"/>
  <c r="AM5" i="53"/>
  <c r="Z6" i="53"/>
  <c r="AA6" i="53"/>
  <c r="AB6" i="53"/>
  <c r="AC6" i="53"/>
  <c r="AD6" i="53"/>
  <c r="AE6" i="53"/>
  <c r="AF6" i="53"/>
  <c r="AG6" i="53"/>
  <c r="AH6" i="53"/>
  <c r="AI6" i="53"/>
  <c r="AJ6" i="53"/>
  <c r="AK6" i="53"/>
  <c r="AL6" i="53"/>
  <c r="AM6" i="53"/>
  <c r="Z7" i="53"/>
  <c r="AA7" i="53"/>
  <c r="AB7" i="53"/>
  <c r="AC7" i="53"/>
  <c r="AD7" i="53"/>
  <c r="AE7" i="53"/>
  <c r="AF7" i="53"/>
  <c r="AG7" i="53"/>
  <c r="AH7" i="53"/>
  <c r="AI7" i="53"/>
  <c r="AJ7" i="53"/>
  <c r="AK7" i="53"/>
  <c r="AL7" i="53"/>
  <c r="AM7" i="53"/>
  <c r="Y6" i="53"/>
  <c r="Y7" i="53"/>
  <c r="Y5" i="53"/>
  <c r="U9" i="53"/>
  <c r="U8" i="53"/>
  <c r="T36" i="53"/>
  <c r="S36" i="53"/>
  <c r="T35" i="53"/>
  <c r="S35" i="53"/>
  <c r="T27" i="53"/>
  <c r="S27" i="53"/>
  <c r="T26" i="53"/>
  <c r="S26" i="53"/>
  <c r="T18" i="53"/>
  <c r="S18" i="53"/>
  <c r="T17" i="53"/>
  <c r="S17" i="53"/>
  <c r="T9" i="53"/>
  <c r="S9" i="53"/>
  <c r="BA32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P34" i="53"/>
  <c r="Q34" i="53"/>
  <c r="C34" i="53"/>
  <c r="Q21" i="53"/>
  <c r="J30" i="53"/>
  <c r="E21" i="53"/>
  <c r="M21" i="53"/>
  <c r="F30" i="53"/>
  <c r="N30" i="53"/>
  <c r="H21" i="53"/>
  <c r="P21" i="53"/>
  <c r="I30" i="53"/>
  <c r="Q30" i="53"/>
  <c r="I21" i="53"/>
  <c r="AV34" i="53"/>
  <c r="O21" i="53"/>
  <c r="BF21" i="53"/>
  <c r="BJ21" i="53"/>
  <c r="BN21" i="53"/>
  <c r="BR21" i="53"/>
  <c r="BV21" i="53"/>
  <c r="BZ21" i="53"/>
  <c r="CD21" i="53"/>
  <c r="CH21" i="53"/>
  <c r="CL21" i="53"/>
  <c r="CP21" i="53"/>
  <c r="CT21" i="53"/>
  <c r="CX21" i="53"/>
  <c r="DB21" i="53"/>
  <c r="DF21" i="53"/>
  <c r="DJ21" i="53"/>
  <c r="DN21" i="53"/>
  <c r="DR21" i="53"/>
  <c r="DV21" i="53"/>
  <c r="DZ21" i="53"/>
  <c r="ED21" i="53"/>
  <c r="BE21" i="53"/>
  <c r="BG21" i="53"/>
  <c r="BK21" i="53"/>
  <c r="BO21" i="53"/>
  <c r="BS21" i="53"/>
  <c r="BW21" i="53"/>
  <c r="CA21" i="53"/>
  <c r="CE21" i="53"/>
  <c r="CI21" i="53"/>
  <c r="CM21" i="53"/>
  <c r="CQ21" i="53"/>
  <c r="CU21" i="53"/>
  <c r="CY21" i="53"/>
  <c r="DC21" i="53"/>
  <c r="DG21" i="53"/>
  <c r="DK21" i="53"/>
  <c r="DO21" i="53"/>
  <c r="DS21" i="53"/>
  <c r="DW21" i="53"/>
  <c r="EA21" i="53"/>
  <c r="EE21" i="53"/>
  <c r="BH21" i="53"/>
  <c r="BL21" i="53"/>
  <c r="BP21" i="53"/>
  <c r="BT21" i="53"/>
  <c r="BX21" i="53"/>
  <c r="CB21" i="53"/>
  <c r="CF21" i="53"/>
  <c r="CJ21" i="53"/>
  <c r="CN21" i="53"/>
  <c r="CR21" i="53"/>
  <c r="CV21" i="53"/>
  <c r="CZ21" i="53"/>
  <c r="DD21" i="53"/>
  <c r="DH21" i="53"/>
  <c r="DL21" i="53"/>
  <c r="DP21" i="53"/>
  <c r="DT21" i="53"/>
  <c r="DX21" i="53"/>
  <c r="EB21" i="53"/>
  <c r="EF21" i="53"/>
  <c r="BQ21" i="53"/>
  <c r="CG21" i="53"/>
  <c r="CW21" i="53"/>
  <c r="DM21" i="53"/>
  <c r="EC21" i="53"/>
  <c r="BU21" i="53"/>
  <c r="CK21" i="53"/>
  <c r="DA21" i="53"/>
  <c r="DQ21" i="53"/>
  <c r="EG21" i="53"/>
  <c r="BI21" i="53"/>
  <c r="BY21" i="53"/>
  <c r="CO21" i="53"/>
  <c r="DE21" i="53"/>
  <c r="DU21" i="53"/>
  <c r="BM21" i="53"/>
  <c r="CC21" i="53"/>
  <c r="CS21" i="53"/>
  <c r="DI21" i="53"/>
  <c r="DY21" i="53"/>
  <c r="P30" i="53"/>
  <c r="EF30" i="53"/>
  <c r="EB30" i="53"/>
  <c r="DX30" i="53"/>
  <c r="DT30" i="53"/>
  <c r="DP30" i="53"/>
  <c r="DL30" i="53"/>
  <c r="DH30" i="53"/>
  <c r="DD30" i="53"/>
  <c r="CZ30" i="53"/>
  <c r="CV30" i="53"/>
  <c r="CR30" i="53"/>
  <c r="CN30" i="53"/>
  <c r="CJ30" i="53"/>
  <c r="CF30" i="53"/>
  <c r="CB30" i="53"/>
  <c r="BX30" i="53"/>
  <c r="BT30" i="53"/>
  <c r="BP30" i="53"/>
  <c r="BL30" i="53"/>
  <c r="BH30" i="53"/>
  <c r="EE30" i="53"/>
  <c r="EA30" i="53"/>
  <c r="DW30" i="53"/>
  <c r="DS30" i="53"/>
  <c r="DO30" i="53"/>
  <c r="DK30" i="53"/>
  <c r="DG30" i="53"/>
  <c r="DC30" i="53"/>
  <c r="CY30" i="53"/>
  <c r="CU30" i="53"/>
  <c r="CQ30" i="53"/>
  <c r="CM30" i="53"/>
  <c r="CI30" i="53"/>
  <c r="CE30" i="53"/>
  <c r="CA30" i="53"/>
  <c r="BW30" i="53"/>
  <c r="BS30" i="53"/>
  <c r="BO30" i="53"/>
  <c r="BK30" i="53"/>
  <c r="BG30" i="53"/>
  <c r="EC30" i="53"/>
  <c r="DU30" i="53"/>
  <c r="DM30" i="53"/>
  <c r="DE30" i="53"/>
  <c r="CW30" i="53"/>
  <c r="CO30" i="53"/>
  <c r="CG30" i="53"/>
  <c r="BY30" i="53"/>
  <c r="BQ30" i="53"/>
  <c r="BI30" i="53"/>
  <c r="DZ30" i="53"/>
  <c r="DR30" i="53"/>
  <c r="DJ30" i="53"/>
  <c r="DB30" i="53"/>
  <c r="CT30" i="53"/>
  <c r="CL30" i="53"/>
  <c r="CD30" i="53"/>
  <c r="BV30" i="53"/>
  <c r="BN30" i="53"/>
  <c r="BF30" i="53"/>
  <c r="EG30" i="53"/>
  <c r="DY30" i="53"/>
  <c r="DQ30" i="53"/>
  <c r="DI30" i="53"/>
  <c r="DA30" i="53"/>
  <c r="CS30" i="53"/>
  <c r="CK30" i="53"/>
  <c r="CC30" i="53"/>
  <c r="BU30" i="53"/>
  <c r="BM30" i="53"/>
  <c r="BE30" i="53"/>
  <c r="ED30" i="53"/>
  <c r="DV30" i="53"/>
  <c r="DN30" i="53"/>
  <c r="DF30" i="53"/>
  <c r="CX30" i="53"/>
  <c r="CP30" i="53"/>
  <c r="CH30" i="53"/>
  <c r="BZ30" i="53"/>
  <c r="BR30" i="53"/>
  <c r="BJ30" i="53"/>
  <c r="Q39" i="53"/>
  <c r="EE39" i="53"/>
  <c r="EA39" i="53"/>
  <c r="DW39" i="53"/>
  <c r="DS39" i="53"/>
  <c r="DO39" i="53"/>
  <c r="DK39" i="53"/>
  <c r="DG39" i="53"/>
  <c r="DC39" i="53"/>
  <c r="CY39" i="53"/>
  <c r="CU39" i="53"/>
  <c r="CQ39" i="53"/>
  <c r="CM39" i="53"/>
  <c r="CI39" i="53"/>
  <c r="CE39" i="53"/>
  <c r="CA39" i="53"/>
  <c r="BW39" i="53"/>
  <c r="BS39" i="53"/>
  <c r="BO39" i="53"/>
  <c r="BK39" i="53"/>
  <c r="BG39" i="53"/>
  <c r="ED39" i="53"/>
  <c r="DZ39" i="53"/>
  <c r="DV39" i="53"/>
  <c r="DR39" i="53"/>
  <c r="DN39" i="53"/>
  <c r="DJ39" i="53"/>
  <c r="DF39" i="53"/>
  <c r="DB39" i="53"/>
  <c r="CX39" i="53"/>
  <c r="CT39" i="53"/>
  <c r="CP39" i="53"/>
  <c r="CL39" i="53"/>
  <c r="CH39" i="53"/>
  <c r="CD39" i="53"/>
  <c r="BZ39" i="53"/>
  <c r="BV39" i="53"/>
  <c r="BR39" i="53"/>
  <c r="BN39" i="53"/>
  <c r="BJ39" i="53"/>
  <c r="BF39" i="53"/>
  <c r="EF39" i="53"/>
  <c r="DX39" i="53"/>
  <c r="DP39" i="53"/>
  <c r="DH39" i="53"/>
  <c r="CZ39" i="53"/>
  <c r="CR39" i="53"/>
  <c r="CJ39" i="53"/>
  <c r="CB39" i="53"/>
  <c r="BT39" i="53"/>
  <c r="BL39" i="53"/>
  <c r="EC39" i="53"/>
  <c r="DU39" i="53"/>
  <c r="DM39" i="53"/>
  <c r="DE39" i="53"/>
  <c r="CW39" i="53"/>
  <c r="CO39" i="53"/>
  <c r="CG39" i="53"/>
  <c r="BY39" i="53"/>
  <c r="BQ39" i="53"/>
  <c r="BI39" i="53"/>
  <c r="EB39" i="53"/>
  <c r="DT39" i="53"/>
  <c r="DL39" i="53"/>
  <c r="DD39" i="53"/>
  <c r="CV39" i="53"/>
  <c r="CN39" i="53"/>
  <c r="CF39" i="53"/>
  <c r="BX39" i="53"/>
  <c r="BP39" i="53"/>
  <c r="BH39" i="53"/>
  <c r="EG39" i="53"/>
  <c r="DY39" i="53"/>
  <c r="DQ39" i="53"/>
  <c r="DI39" i="53"/>
  <c r="DA39" i="53"/>
  <c r="CS39" i="53"/>
  <c r="CK39" i="53"/>
  <c r="CC39" i="53"/>
  <c r="BU39" i="53"/>
  <c r="BM39" i="53"/>
  <c r="BE39" i="53"/>
  <c r="D21" i="53"/>
  <c r="L21" i="53"/>
  <c r="E30" i="53"/>
  <c r="M30" i="53"/>
  <c r="G12" i="53"/>
  <c r="N12" i="53"/>
  <c r="M12" i="53"/>
  <c r="E12" i="53"/>
  <c r="C12" i="53"/>
  <c r="J12" i="53"/>
  <c r="Q12" i="53"/>
  <c r="I12" i="53"/>
  <c r="F12" i="53"/>
  <c r="J39" i="53"/>
  <c r="C39" i="53"/>
  <c r="K39" i="53"/>
  <c r="F39" i="53"/>
  <c r="N39" i="53"/>
  <c r="G39" i="53"/>
  <c r="O39" i="53"/>
  <c r="P12" i="53"/>
  <c r="L12" i="53"/>
  <c r="H12" i="53"/>
  <c r="D12" i="53"/>
  <c r="F21" i="53"/>
  <c r="J21" i="53"/>
  <c r="N21" i="53"/>
  <c r="C30" i="53"/>
  <c r="G30" i="53"/>
  <c r="K30" i="53"/>
  <c r="O30" i="53"/>
  <c r="D39" i="53"/>
  <c r="H39" i="53"/>
  <c r="L39" i="53"/>
  <c r="P39" i="53"/>
  <c r="O12" i="53"/>
  <c r="K12" i="53"/>
  <c r="C21" i="53"/>
  <c r="G21" i="53"/>
  <c r="K21" i="53"/>
  <c r="D30" i="53"/>
  <c r="H30" i="53"/>
  <c r="L30" i="53"/>
  <c r="E39" i="53"/>
  <c r="I39" i="53"/>
  <c r="M39" i="53"/>
  <c r="BB34" i="53"/>
  <c r="AX34" i="53"/>
  <c r="AT34" i="53"/>
  <c r="AP34" i="53"/>
  <c r="W32" i="53"/>
  <c r="AZ34" i="53"/>
  <c r="AR34" i="53"/>
  <c r="AQ34" i="53"/>
  <c r="AU34" i="53"/>
  <c r="AY34" i="53"/>
  <c r="BC34" i="53"/>
  <c r="AO34" i="53"/>
  <c r="AS34" i="53"/>
  <c r="AW34" i="53"/>
  <c r="BA34" i="53"/>
  <c r="P33" i="53"/>
  <c r="BB33" i="53"/>
  <c r="L33" i="53"/>
  <c r="AX33" i="53"/>
  <c r="Q33" i="53"/>
  <c r="BC33" i="53"/>
  <c r="M33" i="53"/>
  <c r="AY33" i="53"/>
  <c r="O33" i="53"/>
  <c r="BA33" i="53"/>
  <c r="EH39" i="53"/>
  <c r="EH30" i="53"/>
  <c r="EH12" i="53"/>
  <c r="EH21" i="53"/>
  <c r="W34" i="53"/>
  <c r="N33" i="53"/>
  <c r="AZ33" i="53"/>
  <c r="G33" i="53"/>
  <c r="AS33" i="53"/>
  <c r="K33" i="53"/>
  <c r="AW33" i="53"/>
  <c r="D33" i="53"/>
  <c r="AP33" i="53"/>
  <c r="H33" i="53"/>
  <c r="AT33" i="53"/>
  <c r="E33" i="53"/>
  <c r="AQ33" i="53"/>
  <c r="I33" i="53"/>
  <c r="AU33" i="53"/>
  <c r="F33" i="53"/>
  <c r="AR33" i="53"/>
  <c r="J33" i="53"/>
  <c r="AV33" i="53"/>
  <c r="C33" i="53"/>
  <c r="AO33" i="53"/>
  <c r="W33" i="53"/>
  <c r="O35" i="53"/>
  <c r="K35" i="53"/>
  <c r="G35" i="53"/>
  <c r="C35" i="53"/>
  <c r="Q35" i="53"/>
  <c r="P36" i="53"/>
  <c r="O36" i="53"/>
  <c r="N35" i="53"/>
  <c r="M36" i="53"/>
  <c r="L35" i="53"/>
  <c r="K36" i="53"/>
  <c r="J35" i="53"/>
  <c r="I35" i="53"/>
  <c r="H36" i="53"/>
  <c r="G36" i="53"/>
  <c r="F35" i="53"/>
  <c r="E36" i="53"/>
  <c r="D35" i="53"/>
  <c r="C36" i="53"/>
  <c r="D36" i="53"/>
  <c r="L36" i="53"/>
  <c r="H35" i="53"/>
  <c r="P35" i="53"/>
  <c r="I36" i="53"/>
  <c r="Q36" i="53"/>
  <c r="E35" i="53"/>
  <c r="M35" i="53"/>
  <c r="F36" i="53"/>
  <c r="J36" i="53"/>
  <c r="N36" i="53"/>
  <c r="P23" i="53"/>
  <c r="BB23" i="53"/>
  <c r="L23" i="53"/>
  <c r="AX23" i="53"/>
  <c r="Q23" i="53"/>
  <c r="BC23" i="53"/>
  <c r="M23" i="53"/>
  <c r="AY23" i="53"/>
  <c r="O23" i="53"/>
  <c r="BA23" i="53"/>
  <c r="EE40" i="53"/>
  <c r="BL40" i="53"/>
  <c r="DB40" i="53"/>
  <c r="CS40" i="53"/>
  <c r="BN40" i="53"/>
  <c r="DE40" i="53"/>
  <c r="BU40" i="53"/>
  <c r="DL40" i="53"/>
  <c r="BG40" i="53"/>
  <c r="CM40" i="53"/>
  <c r="DC40" i="53"/>
  <c r="BQ40" i="53"/>
  <c r="DH40" i="53"/>
  <c r="CC40" i="53"/>
  <c r="DU40" i="53"/>
  <c r="CO40" i="53"/>
  <c r="DJ40" i="53"/>
  <c r="BZ40" i="53"/>
  <c r="DQ40" i="53"/>
  <c r="BK40" i="53"/>
  <c r="CQ40" i="53"/>
  <c r="DW40" i="53"/>
  <c r="BV40" i="53"/>
  <c r="CR40" i="53"/>
  <c r="DM40" i="53"/>
  <c r="BM40" i="53"/>
  <c r="CH40" i="53"/>
  <c r="DD40" i="53"/>
  <c r="EC40" i="53"/>
  <c r="BY40" i="53"/>
  <c r="CT40" i="53"/>
  <c r="DP40" i="53"/>
  <c r="BJ40" i="53"/>
  <c r="CF40" i="53"/>
  <c r="DA40" i="53"/>
  <c r="DY40" i="53"/>
  <c r="DZ40" i="53"/>
  <c r="BO40" i="53"/>
  <c r="CE40" i="53"/>
  <c r="CU40" i="53"/>
  <c r="DK40" i="53"/>
  <c r="EA40" i="53"/>
  <c r="CG40" i="53"/>
  <c r="EB40" i="53"/>
  <c r="BX40" i="53"/>
  <c r="DN40" i="53"/>
  <c r="CJ40" i="53"/>
  <c r="EF40" i="53"/>
  <c r="CP40" i="53"/>
  <c r="DR40" i="53"/>
  <c r="BW40" i="53"/>
  <c r="DS40" i="53"/>
  <c r="CL40" i="53"/>
  <c r="BH40" i="53"/>
  <c r="CX40" i="53"/>
  <c r="BT40" i="53"/>
  <c r="BE40" i="53"/>
  <c r="CV40" i="53"/>
  <c r="DV40" i="53"/>
  <c r="CA40" i="53"/>
  <c r="DG40" i="53"/>
  <c r="BF40" i="53"/>
  <c r="CB40" i="53"/>
  <c r="CW40" i="53"/>
  <c r="DT40" i="53"/>
  <c r="BR40" i="53"/>
  <c r="CN40" i="53"/>
  <c r="DI40" i="53"/>
  <c r="BI40" i="53"/>
  <c r="CD40" i="53"/>
  <c r="CZ40" i="53"/>
  <c r="DX40" i="53"/>
  <c r="BP40" i="53"/>
  <c r="CK40" i="53"/>
  <c r="DF40" i="53"/>
  <c r="EG40" i="53"/>
  <c r="ED40" i="53"/>
  <c r="BS40" i="53"/>
  <c r="CI40" i="53"/>
  <c r="CY40" i="53"/>
  <c r="DO40" i="53"/>
  <c r="C38" i="53"/>
  <c r="N38" i="53"/>
  <c r="J38" i="53"/>
  <c r="I38" i="53"/>
  <c r="E38" i="53"/>
  <c r="O38" i="53"/>
  <c r="H38" i="53"/>
  <c r="Q38" i="53"/>
  <c r="L38" i="53"/>
  <c r="M38" i="53"/>
  <c r="G38" i="53"/>
  <c r="K38" i="53"/>
  <c r="F38" i="53"/>
  <c r="D38" i="53"/>
  <c r="P38" i="53"/>
  <c r="M37" i="53"/>
  <c r="K37" i="53"/>
  <c r="F37" i="53"/>
  <c r="D37" i="53"/>
  <c r="P37" i="53"/>
  <c r="C37" i="53"/>
  <c r="O37" i="53"/>
  <c r="E37" i="53"/>
  <c r="H37" i="53"/>
  <c r="N37" i="53"/>
  <c r="Q37" i="53"/>
  <c r="L37" i="53"/>
  <c r="J37" i="53"/>
  <c r="I37" i="53"/>
  <c r="G37" i="53"/>
  <c r="N23" i="53"/>
  <c r="AZ23" i="53"/>
  <c r="EH40" i="53"/>
  <c r="G23" i="53"/>
  <c r="AS23" i="53"/>
  <c r="K23" i="53"/>
  <c r="AW23" i="53"/>
  <c r="D23" i="53"/>
  <c r="AP23" i="53"/>
  <c r="H23" i="53"/>
  <c r="AT23" i="53"/>
  <c r="E23" i="53"/>
  <c r="AQ23" i="53"/>
  <c r="I23" i="53"/>
  <c r="AU23" i="53"/>
  <c r="F23" i="53"/>
  <c r="AR23" i="53"/>
  <c r="J23" i="53"/>
  <c r="AV23" i="53"/>
  <c r="C23" i="53"/>
  <c r="AO23" i="53"/>
  <c r="W23" i="53"/>
  <c r="D24" i="53"/>
  <c r="AP24" i="53"/>
  <c r="C24" i="53"/>
  <c r="AO24" i="53"/>
  <c r="P24" i="53"/>
  <c r="BB24" i="53"/>
  <c r="L24" i="53"/>
  <c r="AX24" i="53"/>
  <c r="Q24" i="53"/>
  <c r="BC24" i="53"/>
  <c r="M24" i="53"/>
  <c r="AY24" i="53"/>
  <c r="O24" i="53"/>
  <c r="BA24" i="53"/>
  <c r="N24" i="53"/>
  <c r="AZ24" i="53"/>
  <c r="G24" i="53"/>
  <c r="AS24" i="53"/>
  <c r="K24" i="53"/>
  <c r="AW24" i="53"/>
  <c r="H24" i="53"/>
  <c r="AT24" i="53"/>
  <c r="E24" i="53"/>
  <c r="AQ24" i="53"/>
  <c r="I24" i="53"/>
  <c r="AU24" i="53"/>
  <c r="F24" i="53"/>
  <c r="AR24" i="53"/>
  <c r="J24" i="53"/>
  <c r="AV24" i="53"/>
  <c r="W24" i="53"/>
  <c r="P25" i="53"/>
  <c r="BB25" i="53"/>
  <c r="L25" i="53"/>
  <c r="AX25" i="53"/>
  <c r="Q25" i="53"/>
  <c r="BC25" i="53"/>
  <c r="M25" i="53"/>
  <c r="AY25" i="53"/>
  <c r="O25" i="53"/>
  <c r="BA25" i="53"/>
  <c r="N25" i="53"/>
  <c r="AZ25" i="53"/>
  <c r="G25" i="53"/>
  <c r="AS25" i="53"/>
  <c r="K25" i="53"/>
  <c r="AW25" i="53"/>
  <c r="D25" i="53"/>
  <c r="AP25" i="53"/>
  <c r="H25" i="53"/>
  <c r="AT25" i="53"/>
  <c r="E25" i="53"/>
  <c r="AQ25" i="53"/>
  <c r="I25" i="53"/>
  <c r="AU25" i="53"/>
  <c r="F25" i="53"/>
  <c r="AR25" i="53"/>
  <c r="J25" i="53"/>
  <c r="AV25" i="53"/>
  <c r="C25" i="53"/>
  <c r="AO25" i="53"/>
  <c r="W25" i="53"/>
  <c r="O26" i="53"/>
  <c r="K26" i="53"/>
  <c r="G26" i="53"/>
  <c r="C26" i="53"/>
  <c r="Q26" i="53"/>
  <c r="P27" i="53"/>
  <c r="O27" i="53"/>
  <c r="N26" i="53"/>
  <c r="M26" i="53"/>
  <c r="L27" i="53"/>
  <c r="K27" i="53"/>
  <c r="J26" i="53"/>
  <c r="I26" i="53"/>
  <c r="H26" i="53"/>
  <c r="G27" i="53"/>
  <c r="F26" i="53"/>
  <c r="E26" i="53"/>
  <c r="D26" i="53"/>
  <c r="C27" i="53"/>
  <c r="D27" i="53"/>
  <c r="H27" i="53"/>
  <c r="L26" i="53"/>
  <c r="P26" i="53"/>
  <c r="E27" i="53"/>
  <c r="I27" i="53"/>
  <c r="M27" i="53"/>
  <c r="Q27" i="53"/>
  <c r="F27" i="53"/>
  <c r="J27" i="53"/>
  <c r="N27" i="53"/>
  <c r="EF31" i="53"/>
  <c r="BW31" i="53"/>
  <c r="CC31" i="53"/>
  <c r="DZ31" i="53"/>
  <c r="BH31" i="53"/>
  <c r="DD31" i="53"/>
  <c r="BU31" i="53"/>
  <c r="BE31" i="53"/>
  <c r="CH31" i="53"/>
  <c r="DC31" i="53"/>
  <c r="BS31" i="53"/>
  <c r="CO31" i="53"/>
  <c r="CU31" i="53"/>
  <c r="DQ31" i="53"/>
  <c r="BF31" i="53"/>
  <c r="DH31" i="53"/>
  <c r="BR31" i="53"/>
  <c r="BO31" i="53"/>
  <c r="CM31" i="53"/>
  <c r="DI31" i="53"/>
  <c r="ED31" i="53"/>
  <c r="BY31" i="53"/>
  <c r="CT31" i="53"/>
  <c r="DO31" i="53"/>
  <c r="CE31" i="53"/>
  <c r="DA31" i="53"/>
  <c r="DV31" i="53"/>
  <c r="BK31" i="53"/>
  <c r="CG31" i="53"/>
  <c r="DB31" i="53"/>
  <c r="DW31" i="53"/>
  <c r="BP31" i="53"/>
  <c r="CF31" i="53"/>
  <c r="CV31" i="53"/>
  <c r="DL31" i="53"/>
  <c r="EB31" i="53"/>
  <c r="BJ31" i="53"/>
  <c r="CX31" i="53"/>
  <c r="DS31" i="53"/>
  <c r="BN31" i="53"/>
  <c r="CI31" i="53"/>
  <c r="DE31" i="53"/>
  <c r="CP31" i="53"/>
  <c r="DK31" i="53"/>
  <c r="EG31" i="53"/>
  <c r="BV31" i="53"/>
  <c r="CQ31" i="53"/>
  <c r="DM31" i="53"/>
  <c r="BX31" i="53"/>
  <c r="CN31" i="53"/>
  <c r="DT31" i="53"/>
  <c r="DY31" i="53"/>
  <c r="DJ31" i="53"/>
  <c r="EE31" i="53"/>
  <c r="CA31" i="53"/>
  <c r="CW31" i="53"/>
  <c r="DR31" i="53"/>
  <c r="BL31" i="53"/>
  <c r="CB31" i="53"/>
  <c r="CR31" i="53"/>
  <c r="DX31" i="53"/>
  <c r="BG31" i="53"/>
  <c r="BM31" i="53"/>
  <c r="BZ31" i="53"/>
  <c r="CS31" i="53"/>
  <c r="DN31" i="53"/>
  <c r="BI31" i="53"/>
  <c r="CD31" i="53"/>
  <c r="CY31" i="53"/>
  <c r="DU31" i="53"/>
  <c r="CK31" i="53"/>
  <c r="DF31" i="53"/>
  <c r="EA31" i="53"/>
  <c r="BQ31" i="53"/>
  <c r="CL31" i="53"/>
  <c r="DG31" i="53"/>
  <c r="EC31" i="53"/>
  <c r="BT31" i="53"/>
  <c r="CJ31" i="53"/>
  <c r="CZ31" i="53"/>
  <c r="DP31" i="53"/>
  <c r="F29" i="53"/>
  <c r="Q29" i="53"/>
  <c r="O29" i="53"/>
  <c r="E29" i="53"/>
  <c r="D29" i="53"/>
  <c r="C29" i="53"/>
  <c r="L29" i="53"/>
  <c r="P29" i="53"/>
  <c r="N29" i="53"/>
  <c r="K29" i="53"/>
  <c r="G29" i="53"/>
  <c r="M29" i="53"/>
  <c r="J29" i="53"/>
  <c r="I29" i="53"/>
  <c r="H29" i="53"/>
  <c r="C28" i="53"/>
  <c r="E28" i="53"/>
  <c r="P28" i="53"/>
  <c r="N28" i="53"/>
  <c r="D28" i="53"/>
  <c r="J28" i="53"/>
  <c r="O28" i="53"/>
  <c r="L28" i="53"/>
  <c r="I28" i="53"/>
  <c r="F28" i="53"/>
  <c r="Q28" i="53"/>
  <c r="H28" i="53"/>
  <c r="K28" i="53"/>
  <c r="M28" i="53"/>
  <c r="G28" i="53"/>
  <c r="EH31" i="53"/>
  <c r="P14" i="53"/>
  <c r="BB14" i="53"/>
  <c r="L14" i="53"/>
  <c r="AX14" i="53"/>
  <c r="Q14" i="53"/>
  <c r="BC14" i="53"/>
  <c r="M14" i="53"/>
  <c r="AY14" i="53"/>
  <c r="O14" i="53"/>
  <c r="BA14" i="53"/>
  <c r="N14" i="53"/>
  <c r="AZ14" i="53"/>
  <c r="G14" i="53"/>
  <c r="AS14" i="53"/>
  <c r="K14" i="53"/>
  <c r="AW14" i="53"/>
  <c r="D14" i="53"/>
  <c r="AP14" i="53"/>
  <c r="H14" i="53"/>
  <c r="AT14" i="53"/>
  <c r="E14" i="53"/>
  <c r="AQ14" i="53"/>
  <c r="I14" i="53"/>
  <c r="AU14" i="53"/>
  <c r="F14" i="53"/>
  <c r="AR14" i="53"/>
  <c r="J14" i="53"/>
  <c r="AV14" i="53"/>
  <c r="C14" i="53"/>
  <c r="AO14" i="53"/>
  <c r="W14" i="53"/>
  <c r="D15" i="53"/>
  <c r="AP15" i="53"/>
  <c r="E15" i="53"/>
  <c r="AQ15" i="53"/>
  <c r="F15" i="53"/>
  <c r="AR15" i="53"/>
  <c r="G15" i="53"/>
  <c r="AS15" i="53"/>
  <c r="H15" i="53"/>
  <c r="AT15" i="53"/>
  <c r="I15" i="53"/>
  <c r="AU15" i="53"/>
  <c r="J15" i="53"/>
  <c r="AV15" i="53"/>
  <c r="K15" i="53"/>
  <c r="AW15" i="53"/>
  <c r="L15" i="53"/>
  <c r="AX15" i="53"/>
  <c r="M15" i="53"/>
  <c r="AY15" i="53"/>
  <c r="N15" i="53"/>
  <c r="AZ15" i="53"/>
  <c r="O15" i="53"/>
  <c r="BA15" i="53"/>
  <c r="P15" i="53"/>
  <c r="BB15" i="53"/>
  <c r="Q15" i="53"/>
  <c r="BC15" i="53"/>
  <c r="D16" i="53"/>
  <c r="AP16" i="53"/>
  <c r="E16" i="53"/>
  <c r="AQ16" i="53"/>
  <c r="F16" i="53"/>
  <c r="AR16" i="53"/>
  <c r="G16" i="53"/>
  <c r="AS16" i="53"/>
  <c r="H16" i="53"/>
  <c r="AT16" i="53"/>
  <c r="I16" i="53"/>
  <c r="AU16" i="53"/>
  <c r="J16" i="53"/>
  <c r="AV16" i="53"/>
  <c r="K16" i="53"/>
  <c r="AW16" i="53"/>
  <c r="L16" i="53"/>
  <c r="AX16" i="53"/>
  <c r="M16" i="53"/>
  <c r="AY16" i="53"/>
  <c r="N16" i="53"/>
  <c r="AZ16" i="53"/>
  <c r="O16" i="53"/>
  <c r="BA16" i="53"/>
  <c r="P16" i="53"/>
  <c r="BB16" i="53"/>
  <c r="Q16" i="53"/>
  <c r="BC16" i="53"/>
  <c r="C16" i="53"/>
  <c r="AO16" i="53"/>
  <c r="C15" i="53"/>
  <c r="AO15" i="53"/>
  <c r="W16" i="53"/>
  <c r="W15" i="53"/>
  <c r="AP5" i="53"/>
  <c r="AQ5" i="53"/>
  <c r="AR5" i="53"/>
  <c r="AS5" i="53"/>
  <c r="AT5" i="53"/>
  <c r="AU5" i="53"/>
  <c r="AV5" i="53"/>
  <c r="AW5" i="53"/>
  <c r="AX5" i="53"/>
  <c r="AY5" i="53"/>
  <c r="AZ5" i="53"/>
  <c r="BA5" i="53"/>
  <c r="BB5" i="53"/>
  <c r="BC5" i="53"/>
  <c r="AO5" i="53"/>
  <c r="W5" i="53"/>
  <c r="G18" i="53"/>
  <c r="C18" i="53"/>
  <c r="K18" i="53"/>
  <c r="O18" i="53"/>
  <c r="O17" i="53"/>
  <c r="D17" i="53"/>
  <c r="H18" i="53"/>
  <c r="L18" i="53"/>
  <c r="P17" i="53"/>
  <c r="C17" i="53"/>
  <c r="E17" i="53"/>
  <c r="I17" i="53"/>
  <c r="M17" i="53"/>
  <c r="Q17" i="53"/>
  <c r="G17" i="53"/>
  <c r="F17" i="53"/>
  <c r="J17" i="53"/>
  <c r="N17" i="53"/>
  <c r="K17" i="53"/>
  <c r="D18" i="53"/>
  <c r="P18" i="53"/>
  <c r="H17" i="53"/>
  <c r="L17" i="53"/>
  <c r="E18" i="53"/>
  <c r="I18" i="53"/>
  <c r="M18" i="53"/>
  <c r="Q18" i="53"/>
  <c r="F18" i="53"/>
  <c r="J18" i="53"/>
  <c r="N18" i="53"/>
  <c r="EG22" i="53"/>
  <c r="EC22" i="53"/>
  <c r="DY22" i="53"/>
  <c r="DU22" i="53"/>
  <c r="DQ22" i="53"/>
  <c r="DM22" i="53"/>
  <c r="DI22" i="53"/>
  <c r="DE22" i="53"/>
  <c r="DA22" i="53"/>
  <c r="CW22" i="53"/>
  <c r="CS22" i="53"/>
  <c r="CO22" i="53"/>
  <c r="CK22" i="53"/>
  <c r="CG22" i="53"/>
  <c r="CC22" i="53"/>
  <c r="BY22" i="53"/>
  <c r="BU22" i="53"/>
  <c r="BQ22" i="53"/>
  <c r="BM22" i="53"/>
  <c r="BI22" i="53"/>
  <c r="BE22" i="53"/>
  <c r="ED22" i="53"/>
  <c r="DX22" i="53"/>
  <c r="DS22" i="53"/>
  <c r="DN22" i="53"/>
  <c r="DH22" i="53"/>
  <c r="DC22" i="53"/>
  <c r="CX22" i="53"/>
  <c r="CR22" i="53"/>
  <c r="CM22" i="53"/>
  <c r="CH22" i="53"/>
  <c r="CB22" i="53"/>
  <c r="BW22" i="53"/>
  <c r="BR22" i="53"/>
  <c r="BL22" i="53"/>
  <c r="BG22" i="53"/>
  <c r="EF22" i="53"/>
  <c r="EA22" i="53"/>
  <c r="DV22" i="53"/>
  <c r="DP22" i="53"/>
  <c r="DK22" i="53"/>
  <c r="DF22" i="53"/>
  <c r="CZ22" i="53"/>
  <c r="CU22" i="53"/>
  <c r="CP22" i="53"/>
  <c r="CJ22" i="53"/>
  <c r="CE22" i="53"/>
  <c r="BZ22" i="53"/>
  <c r="BT22" i="53"/>
  <c r="BO22" i="53"/>
  <c r="BJ22" i="53"/>
  <c r="DW22" i="53"/>
  <c r="DL22" i="53"/>
  <c r="DB22" i="53"/>
  <c r="CQ22" i="53"/>
  <c r="CF22" i="53"/>
  <c r="BV22" i="53"/>
  <c r="BK22" i="53"/>
  <c r="CI22" i="53"/>
  <c r="EE22" i="53"/>
  <c r="DT22" i="53"/>
  <c r="DJ22" i="53"/>
  <c r="CY22" i="53"/>
  <c r="CN22" i="53"/>
  <c r="CD22" i="53"/>
  <c r="BS22" i="53"/>
  <c r="BH22" i="53"/>
  <c r="BP22" i="53"/>
  <c r="DZ22" i="53"/>
  <c r="DD22" i="53"/>
  <c r="BX22" i="53"/>
  <c r="EB22" i="53"/>
  <c r="DR22" i="53"/>
  <c r="DG22" i="53"/>
  <c r="CV22" i="53"/>
  <c r="CL22" i="53"/>
  <c r="CA22" i="53"/>
  <c r="BF22" i="53"/>
  <c r="DO22" i="53"/>
  <c r="CT22" i="53"/>
  <c r="BN22" i="53"/>
  <c r="C20" i="53"/>
  <c r="G20" i="53"/>
  <c r="K20" i="53"/>
  <c r="O20" i="53"/>
  <c r="D19" i="53"/>
  <c r="H19" i="53"/>
  <c r="L19" i="53"/>
  <c r="P19" i="53"/>
  <c r="J20" i="53"/>
  <c r="G19" i="53"/>
  <c r="K19" i="53"/>
  <c r="O19" i="53"/>
  <c r="D20" i="53"/>
  <c r="H20" i="53"/>
  <c r="L20" i="53"/>
  <c r="P20" i="53"/>
  <c r="E19" i="53"/>
  <c r="I19" i="53"/>
  <c r="M19" i="53"/>
  <c r="Q19" i="53"/>
  <c r="F20" i="53"/>
  <c r="N20" i="53"/>
  <c r="E20" i="53"/>
  <c r="I20" i="53"/>
  <c r="M20" i="53"/>
  <c r="Q20" i="53"/>
  <c r="F19" i="53"/>
  <c r="J19" i="53"/>
  <c r="N19" i="53"/>
  <c r="C19" i="53"/>
  <c r="AP7" i="53"/>
  <c r="AQ7" i="53"/>
  <c r="AR7" i="53"/>
  <c r="AS7" i="53"/>
  <c r="AT7" i="53"/>
  <c r="AU7" i="53"/>
  <c r="AV7" i="53"/>
  <c r="AW7" i="53"/>
  <c r="AX7" i="53"/>
  <c r="AY7" i="53"/>
  <c r="AZ7" i="53"/>
  <c r="BA7" i="53"/>
  <c r="BB7" i="53"/>
  <c r="BC7" i="53"/>
  <c r="AO7" i="53"/>
  <c r="AP6" i="53"/>
  <c r="AQ6" i="53"/>
  <c r="AR6" i="53"/>
  <c r="AS6" i="53"/>
  <c r="AT6" i="53"/>
  <c r="AU6" i="53"/>
  <c r="AV6" i="53"/>
  <c r="AW6" i="53"/>
  <c r="AX6" i="53"/>
  <c r="AY6" i="53"/>
  <c r="AZ6" i="53"/>
  <c r="BA6" i="53"/>
  <c r="BB6" i="53"/>
  <c r="BC6" i="53"/>
  <c r="AO6" i="53"/>
  <c r="EH22" i="53"/>
  <c r="W6" i="53"/>
  <c r="W7" i="53"/>
  <c r="M9" i="53"/>
  <c r="N9" i="53"/>
  <c r="O9" i="53"/>
  <c r="P9" i="53"/>
  <c r="Q9" i="53"/>
  <c r="L9" i="53"/>
  <c r="G9" i="53"/>
  <c r="K9" i="53"/>
  <c r="D9" i="53"/>
  <c r="H9" i="53"/>
  <c r="E9" i="53"/>
  <c r="I9" i="53"/>
  <c r="F9" i="53"/>
  <c r="J9" i="53"/>
  <c r="C9" i="53"/>
  <c r="H10" i="53"/>
  <c r="M11" i="53"/>
  <c r="O11" i="53"/>
  <c r="N11" i="53"/>
  <c r="P11" i="53"/>
  <c r="L11" i="53"/>
  <c r="Q11" i="53"/>
  <c r="K11" i="53"/>
  <c r="I11" i="53"/>
  <c r="G11" i="53"/>
  <c r="J11" i="53"/>
  <c r="D11" i="53"/>
  <c r="F11" i="53"/>
  <c r="C11" i="53"/>
  <c r="E11" i="53"/>
  <c r="H11" i="53"/>
  <c r="E10" i="53"/>
  <c r="J10" i="53"/>
  <c r="G10" i="53"/>
  <c r="F10" i="53"/>
  <c r="D10" i="53"/>
  <c r="K10" i="53"/>
  <c r="I10" i="53"/>
  <c r="C10" i="53"/>
  <c r="Q10" i="53"/>
  <c r="P10" i="53"/>
  <c r="N10" i="53"/>
  <c r="M10" i="53"/>
  <c r="O10" i="53"/>
  <c r="L10" i="53"/>
</calcChain>
</file>

<file path=xl/sharedStrings.xml><?xml version="1.0" encoding="utf-8"?>
<sst xmlns="http://schemas.openxmlformats.org/spreadsheetml/2006/main" count="69" uniqueCount="32">
  <si>
    <t>A</t>
  </si>
  <si>
    <t>B</t>
  </si>
  <si>
    <t>C</t>
  </si>
  <si>
    <t>Ave</t>
  </si>
  <si>
    <t>S.D.</t>
  </si>
  <si>
    <t>WT</t>
  </si>
  <si>
    <t>pH</t>
  </si>
  <si>
    <t>Norm</t>
  </si>
  <si>
    <t>S243C</t>
  </si>
  <si>
    <t>S318C</t>
  </si>
  <si>
    <t>DS</t>
  </si>
  <si>
    <t>Fit</t>
  </si>
  <si>
    <t>Diff</t>
  </si>
  <si>
    <t>pKa1</t>
  </si>
  <si>
    <t>pKa2</t>
  </si>
  <si>
    <t>Data</t>
  </si>
  <si>
    <t>Score</t>
  </si>
  <si>
    <t>Max</t>
  </si>
  <si>
    <t>Acidic</t>
  </si>
  <si>
    <t>Alkaline</t>
  </si>
  <si>
    <t>Mean</t>
  </si>
  <si>
    <t>s.d.</t>
  </si>
  <si>
    <t>graph</t>
  </si>
  <si>
    <t>pos</t>
  </si>
  <si>
    <t>Optimum</t>
  </si>
  <si>
    <t>Key:-</t>
  </si>
  <si>
    <t>Diamond: acid transition</t>
  </si>
  <si>
    <t>Circle: pH optimum</t>
  </si>
  <si>
    <t>Square: alkaline transition</t>
  </si>
  <si>
    <t>Vertical dotted line = kinetics assay pH</t>
  </si>
  <si>
    <t>Maximum</t>
  </si>
  <si>
    <t>Replicate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</si>
</sst>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%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/>
    <xf numFmtId="0" fontId="2" fillId="0" borderId="0" xfId="0" applyFont="1"/>
    <xf numFmtId="164" fontId="1" fillId="0" borderId="5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" fontId="1" fillId="0" borderId="0" xfId="0" applyNumberFormat="1" applyFont="1"/>
    <xf numFmtId="164" fontId="1" fillId="0" borderId="7" xfId="0" applyNumberFormat="1" applyFont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 vertical="center"/>
    </xf>
    <xf numFmtId="165" fontId="1" fillId="0" borderId="0" xfId="0" applyNumberFormat="1" applyFont="1"/>
    <xf numFmtId="0" fontId="2" fillId="0" borderId="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Border="1" applyAlignment="1"/>
    <xf numFmtId="164" fontId="1" fillId="0" borderId="2" xfId="0" applyNumberFormat="1" applyFont="1" applyFill="1" applyBorder="1" applyAlignment="1">
      <alignment horizontal="center" vertical="center"/>
    </xf>
    <xf numFmtId="164" fontId="1" fillId="0" borderId="3" xfId="0" applyNumberFormat="1" applyFont="1" applyFill="1" applyBorder="1" applyAlignment="1">
      <alignment horizontal="center" vertical="center"/>
    </xf>
    <xf numFmtId="164" fontId="1" fillId="0" borderId="4" xfId="0" applyNumberFormat="1" applyFont="1" applyFill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/>
    <xf numFmtId="1" fontId="4" fillId="0" borderId="12" xfId="0" applyNumberFormat="1" applyFont="1" applyBorder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6" fillId="0" borderId="5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2" fontId="7" fillId="0" borderId="15" xfId="0" applyNumberFormat="1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2" fontId="3" fillId="6" borderId="2" xfId="0" applyNumberFormat="1" applyFont="1" applyFill="1" applyBorder="1" applyAlignment="1">
      <alignment horizontal="center" vertical="center"/>
    </xf>
    <xf numFmtId="2" fontId="3" fillId="7" borderId="15" xfId="0" applyNumberFormat="1" applyFont="1" applyFill="1" applyBorder="1" applyAlignment="1">
      <alignment horizontal="center" vertical="center"/>
    </xf>
    <xf numFmtId="2" fontId="8" fillId="6" borderId="7" xfId="0" applyNumberFormat="1" applyFont="1" applyFill="1" applyBorder="1" applyAlignment="1">
      <alignment horizontal="center" vertical="center"/>
    </xf>
    <xf numFmtId="2" fontId="8" fillId="7" borderId="1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2" xfId="0" applyNumberFormat="1" applyFont="1" applyBorder="1" applyAlignment="1">
      <alignment horizontal="center" vertical="center"/>
    </xf>
    <xf numFmtId="164" fontId="1" fillId="0" borderId="13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2" fontId="6" fillId="0" borderId="11" xfId="0" applyNumberFormat="1" applyFont="1" applyBorder="1" applyAlignment="1">
      <alignment horizontal="center" vertical="center"/>
    </xf>
    <xf numFmtId="2" fontId="6" fillId="0" borderId="15" xfId="0" applyNumberFormat="1" applyFont="1" applyBorder="1" applyAlignment="1">
      <alignment horizontal="center" vertical="center"/>
    </xf>
    <xf numFmtId="2" fontId="6" fillId="0" borderId="1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2" fontId="1" fillId="0" borderId="0" xfId="0" applyNumberFormat="1" applyFont="1"/>
    <xf numFmtId="0" fontId="1" fillId="0" borderId="0" xfId="0" applyFont="1" applyFill="1"/>
    <xf numFmtId="166" fontId="1" fillId="0" borderId="0" xfId="0" applyNumberFormat="1" applyFont="1"/>
    <xf numFmtId="166" fontId="1" fillId="0" borderId="0" xfId="0" applyNumberFormat="1" applyFont="1" applyFill="1" applyBorder="1" applyAlignment="1">
      <alignment horizontal="center" vertical="center"/>
    </xf>
    <xf numFmtId="166" fontId="1" fillId="0" borderId="0" xfId="0" applyNumberFormat="1" applyFont="1" applyBorder="1"/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2" fontId="1" fillId="0" borderId="8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10" fontId="1" fillId="0" borderId="0" xfId="0" applyNumberFormat="1" applyFont="1" applyFill="1"/>
    <xf numFmtId="0" fontId="9" fillId="0" borderId="0" xfId="0" applyFont="1"/>
    <xf numFmtId="165" fontId="2" fillId="0" borderId="12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165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/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9900"/>
      <color rgb="FFFF7F00"/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5" Type="http://schemas.openxmlformats.org/officeDocument/2006/relationships/externalLink" Target="externalLinks/externalLink4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9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/>
              <a:t>2.5nM WT MMP-1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'a1(I)'!$C$11:$S$11</c:f>
                <c:numCache>
                  <c:formatCode>General</c:formatCode>
                  <c:ptCount val="17"/>
                  <c:pt idx="0">
                    <c:v>0</c:v>
                  </c:pt>
                  <c:pt idx="1">
                    <c:v>6.9289649312283319E-2</c:v>
                  </c:pt>
                  <c:pt idx="2">
                    <c:v>5.8517603965373984E-2</c:v>
                  </c:pt>
                  <c:pt idx="3">
                    <c:v>8.9320994615008351E-2</c:v>
                  </c:pt>
                  <c:pt idx="4">
                    <c:v>1.9377485446487056E-2</c:v>
                  </c:pt>
                  <c:pt idx="5">
                    <c:v>8.4385621296561075E-2</c:v>
                  </c:pt>
                  <c:pt idx="6">
                    <c:v>0.11567976719456342</c:v>
                  </c:pt>
                  <c:pt idx="7">
                    <c:v>9.6847920584297587E-2</c:v>
                  </c:pt>
                  <c:pt idx="8">
                    <c:v>0.12167534062764034</c:v>
                  </c:pt>
                  <c:pt idx="9">
                    <c:v>9.1571213080669539E-2</c:v>
                  </c:pt>
                  <c:pt idx="10">
                    <c:v>8.0482814260888269E-2</c:v>
                  </c:pt>
                  <c:pt idx="11">
                    <c:v>4.6914656346542363E-2</c:v>
                  </c:pt>
                  <c:pt idx="12">
                    <c:v>0.10025211938550065</c:v>
                  </c:pt>
                  <c:pt idx="13">
                    <c:v>5.437966706868793E-2</c:v>
                  </c:pt>
                  <c:pt idx="14">
                    <c:v>0</c:v>
                  </c:pt>
                  <c:pt idx="16">
                    <c:v>0.5</c:v>
                  </c:pt>
                </c:numCache>
              </c:numRef>
            </c:plus>
            <c:minus>
              <c:numRef>
                <c:f>'a1(I)'!$C$11:$S$11</c:f>
                <c:numCache>
                  <c:formatCode>General</c:formatCode>
                  <c:ptCount val="17"/>
                  <c:pt idx="0">
                    <c:v>0</c:v>
                  </c:pt>
                  <c:pt idx="1">
                    <c:v>6.9289649312283319E-2</c:v>
                  </c:pt>
                  <c:pt idx="2">
                    <c:v>5.8517603965373984E-2</c:v>
                  </c:pt>
                  <c:pt idx="3">
                    <c:v>8.9320994615008351E-2</c:v>
                  </c:pt>
                  <c:pt idx="4">
                    <c:v>1.9377485446487056E-2</c:v>
                  </c:pt>
                  <c:pt idx="5">
                    <c:v>8.4385621296561075E-2</c:v>
                  </c:pt>
                  <c:pt idx="6">
                    <c:v>0.11567976719456342</c:v>
                  </c:pt>
                  <c:pt idx="7">
                    <c:v>9.6847920584297587E-2</c:v>
                  </c:pt>
                  <c:pt idx="8">
                    <c:v>0.12167534062764034</c:v>
                  </c:pt>
                  <c:pt idx="9">
                    <c:v>9.1571213080669539E-2</c:v>
                  </c:pt>
                  <c:pt idx="10">
                    <c:v>8.0482814260888269E-2</c:v>
                  </c:pt>
                  <c:pt idx="11">
                    <c:v>4.6914656346542363E-2</c:v>
                  </c:pt>
                  <c:pt idx="12">
                    <c:v>0.10025211938550065</c:v>
                  </c:pt>
                  <c:pt idx="13">
                    <c:v>5.437966706868793E-2</c:v>
                  </c:pt>
                  <c:pt idx="14">
                    <c:v>0</c:v>
                  </c:pt>
                  <c:pt idx="16">
                    <c:v>0.5</c:v>
                  </c:pt>
                </c:numCache>
              </c:numRef>
            </c:minus>
            <c:spPr>
              <a:ln cap="sq"/>
            </c:spPr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'a1(I)'!$C$10:$Q$10</c:f>
              <c:numCache>
                <c:formatCode>0.0%</c:formatCode>
                <c:ptCount val="15"/>
                <c:pt idx="0">
                  <c:v>0</c:v>
                </c:pt>
                <c:pt idx="1">
                  <c:v>8.2801501312417897E-2</c:v>
                </c:pt>
                <c:pt idx="2">
                  <c:v>0.46624804877173426</c:v>
                </c:pt>
                <c:pt idx="3">
                  <c:v>0.81795515871204438</c:v>
                </c:pt>
                <c:pt idx="4">
                  <c:v>0.89973801163622047</c:v>
                </c:pt>
                <c:pt idx="5">
                  <c:v>0.94873901579210784</c:v>
                </c:pt>
                <c:pt idx="6">
                  <c:v>1</c:v>
                </c:pt>
                <c:pt idx="7">
                  <c:v>0.96948428341696391</c:v>
                </c:pt>
                <c:pt idx="8">
                  <c:v>0.87660860823489806</c:v>
                </c:pt>
                <c:pt idx="9">
                  <c:v>0.68212819653450651</c:v>
                </c:pt>
                <c:pt idx="10">
                  <c:v>0.58115233310614944</c:v>
                </c:pt>
                <c:pt idx="11">
                  <c:v>0.41992025360510815</c:v>
                </c:pt>
                <c:pt idx="12">
                  <c:v>0.23195211068033655</c:v>
                </c:pt>
                <c:pt idx="13">
                  <c:v>3.1396115420549209E-2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84-46EB-8E01-050A202B4CB3}"/>
            </c:ext>
          </c:extLst>
        </c:ser>
        <c:ser>
          <c:idx val="1"/>
          <c:order val="1"/>
          <c:tx>
            <c:v>Fit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'a1(I)'!$BE$3:$EG$3</c:f>
              <c:numCache>
                <c:formatCode>0.0</c:formatCode>
                <c:ptCount val="81"/>
                <c:pt idx="0">
                  <c:v>4</c:v>
                </c:pt>
                <c:pt idx="1">
                  <c:v>4.0999999999999996</c:v>
                </c:pt>
                <c:pt idx="2">
                  <c:v>4.2</c:v>
                </c:pt>
                <c:pt idx="3">
                  <c:v>4.3</c:v>
                </c:pt>
                <c:pt idx="4">
                  <c:v>4.4000000000000004</c:v>
                </c:pt>
                <c:pt idx="5">
                  <c:v>4.5</c:v>
                </c:pt>
                <c:pt idx="6">
                  <c:v>4.5999999999999996</c:v>
                </c:pt>
                <c:pt idx="7">
                  <c:v>4.7</c:v>
                </c:pt>
                <c:pt idx="8">
                  <c:v>4.8</c:v>
                </c:pt>
                <c:pt idx="9">
                  <c:v>4.9000000000000004</c:v>
                </c:pt>
                <c:pt idx="10">
                  <c:v>5</c:v>
                </c:pt>
                <c:pt idx="11">
                  <c:v>5.0999999999999996</c:v>
                </c:pt>
                <c:pt idx="12">
                  <c:v>5.2</c:v>
                </c:pt>
                <c:pt idx="13">
                  <c:v>5.3</c:v>
                </c:pt>
                <c:pt idx="14">
                  <c:v>5.4</c:v>
                </c:pt>
                <c:pt idx="15">
                  <c:v>5.4999999999999902</c:v>
                </c:pt>
                <c:pt idx="16">
                  <c:v>5.5999999999999899</c:v>
                </c:pt>
                <c:pt idx="17">
                  <c:v>5.6999999999999904</c:v>
                </c:pt>
                <c:pt idx="18">
                  <c:v>5.7999999999999901</c:v>
                </c:pt>
                <c:pt idx="19">
                  <c:v>5.8999999999999897</c:v>
                </c:pt>
                <c:pt idx="20">
                  <c:v>5.9999999999999902</c:v>
                </c:pt>
                <c:pt idx="21">
                  <c:v>6.0999999999999899</c:v>
                </c:pt>
                <c:pt idx="22">
                  <c:v>6.1999999999999904</c:v>
                </c:pt>
                <c:pt idx="23">
                  <c:v>6.2999999999999901</c:v>
                </c:pt>
                <c:pt idx="24">
                  <c:v>6.3999999999999897</c:v>
                </c:pt>
                <c:pt idx="25">
                  <c:v>6.4999999999999902</c:v>
                </c:pt>
                <c:pt idx="26">
                  <c:v>6.5999999999999899</c:v>
                </c:pt>
                <c:pt idx="27">
                  <c:v>6.6999999999999904</c:v>
                </c:pt>
                <c:pt idx="28">
                  <c:v>6.7999999999999901</c:v>
                </c:pt>
                <c:pt idx="29">
                  <c:v>6.8999999999999897</c:v>
                </c:pt>
                <c:pt idx="30">
                  <c:v>6.9999999999999902</c:v>
                </c:pt>
                <c:pt idx="31">
                  <c:v>7.0999999999999899</c:v>
                </c:pt>
                <c:pt idx="32">
                  <c:v>7.1999999999999904</c:v>
                </c:pt>
                <c:pt idx="33">
                  <c:v>7.2999999999999901</c:v>
                </c:pt>
                <c:pt idx="34">
                  <c:v>7.3999999999999897</c:v>
                </c:pt>
                <c:pt idx="35">
                  <c:v>7.4999999999999902</c:v>
                </c:pt>
                <c:pt idx="36">
                  <c:v>7.5999999999999899</c:v>
                </c:pt>
                <c:pt idx="37">
                  <c:v>7.6999999999999904</c:v>
                </c:pt>
                <c:pt idx="38">
                  <c:v>7.7999999999999901</c:v>
                </c:pt>
                <c:pt idx="39">
                  <c:v>7.8999999999999897</c:v>
                </c:pt>
                <c:pt idx="40">
                  <c:v>7.9999999999999902</c:v>
                </c:pt>
                <c:pt idx="41">
                  <c:v>8.0999999999999908</c:v>
                </c:pt>
                <c:pt idx="42">
                  <c:v>8.1999999999999904</c:v>
                </c:pt>
                <c:pt idx="43">
                  <c:v>8.2999999999999794</c:v>
                </c:pt>
                <c:pt idx="44">
                  <c:v>8.3999999999999808</c:v>
                </c:pt>
                <c:pt idx="45">
                  <c:v>8.4999999999999805</c:v>
                </c:pt>
                <c:pt idx="46">
                  <c:v>8.5999999999999801</c:v>
                </c:pt>
                <c:pt idx="47">
                  <c:v>8.6999999999999797</c:v>
                </c:pt>
                <c:pt idx="48">
                  <c:v>8.7999999999999794</c:v>
                </c:pt>
                <c:pt idx="49">
                  <c:v>8.8999999999999808</c:v>
                </c:pt>
                <c:pt idx="50">
                  <c:v>8.9999999999999805</c:v>
                </c:pt>
                <c:pt idx="51">
                  <c:v>9.0999999999999801</c:v>
                </c:pt>
                <c:pt idx="52">
                  <c:v>9.1999999999999797</c:v>
                </c:pt>
                <c:pt idx="53">
                  <c:v>9.2999999999999794</c:v>
                </c:pt>
                <c:pt idx="54">
                  <c:v>9.3999999999999808</c:v>
                </c:pt>
                <c:pt idx="55">
                  <c:v>9.4999999999999805</c:v>
                </c:pt>
                <c:pt idx="56">
                  <c:v>9.5999999999999801</c:v>
                </c:pt>
                <c:pt idx="57">
                  <c:v>9.6999999999999797</c:v>
                </c:pt>
                <c:pt idx="58">
                  <c:v>9.7999999999999794</c:v>
                </c:pt>
                <c:pt idx="59">
                  <c:v>9.8999999999999808</c:v>
                </c:pt>
                <c:pt idx="60">
                  <c:v>9.9999999999999805</c:v>
                </c:pt>
                <c:pt idx="61">
                  <c:v>10.1</c:v>
                </c:pt>
                <c:pt idx="62">
                  <c:v>10.199999999999999</c:v>
                </c:pt>
                <c:pt idx="63">
                  <c:v>10.3</c:v>
                </c:pt>
                <c:pt idx="64">
                  <c:v>10.4</c:v>
                </c:pt>
                <c:pt idx="65">
                  <c:v>10.5</c:v>
                </c:pt>
                <c:pt idx="66">
                  <c:v>10.6</c:v>
                </c:pt>
                <c:pt idx="67">
                  <c:v>10.7</c:v>
                </c:pt>
                <c:pt idx="68">
                  <c:v>10.8</c:v>
                </c:pt>
                <c:pt idx="69">
                  <c:v>10.9</c:v>
                </c:pt>
                <c:pt idx="70">
                  <c:v>11</c:v>
                </c:pt>
                <c:pt idx="71">
                  <c:v>11.1</c:v>
                </c:pt>
                <c:pt idx="72">
                  <c:v>11.2</c:v>
                </c:pt>
                <c:pt idx="73">
                  <c:v>11.3</c:v>
                </c:pt>
                <c:pt idx="74">
                  <c:v>11.4</c:v>
                </c:pt>
                <c:pt idx="75">
                  <c:v>11.5</c:v>
                </c:pt>
                <c:pt idx="76">
                  <c:v>11.6</c:v>
                </c:pt>
                <c:pt idx="77">
                  <c:v>11.7</c:v>
                </c:pt>
                <c:pt idx="78">
                  <c:v>11.8</c:v>
                </c:pt>
                <c:pt idx="79">
                  <c:v>11.9</c:v>
                </c:pt>
                <c:pt idx="80">
                  <c:v>12</c:v>
                </c:pt>
              </c:numCache>
            </c:numRef>
          </c:xVal>
          <c:yVal>
            <c:numRef>
              <c:f>'a1(I)'!$BE$12:$EH$12</c:f>
              <c:numCache>
                <c:formatCode>0.000%</c:formatCode>
                <c:ptCount val="82"/>
                <c:pt idx="0">
                  <c:v>4.5894199314363844E-2</c:v>
                </c:pt>
                <c:pt idx="1">
                  <c:v>5.7098836293057169E-2</c:v>
                </c:pt>
                <c:pt idx="2">
                  <c:v>7.0835879400434912E-2</c:v>
                </c:pt>
                <c:pt idx="3">
                  <c:v>8.7570877677810674E-2</c:v>
                </c:pt>
                <c:pt idx="4">
                  <c:v>0.10780080551969651</c:v>
                </c:pt>
                <c:pt idx="5">
                  <c:v>0.132027826726689</c:v>
                </c:pt>
                <c:pt idx="6">
                  <c:v>0.16071874184171531</c:v>
                </c:pt>
                <c:pt idx="7">
                  <c:v>0.19424905633493975</c:v>
                </c:pt>
                <c:pt idx="8">
                  <c:v>0.23283392417336254</c:v>
                </c:pt>
                <c:pt idx="9">
                  <c:v>0.27645328645361478</c:v>
                </c:pt>
                <c:pt idx="10">
                  <c:v>0.32478447197766186</c:v>
                </c:pt>
                <c:pt idx="11">
                  <c:v>0.3771602150535156</c:v>
                </c:pt>
                <c:pt idx="12">
                  <c:v>0.43257039563897043</c:v>
                </c:pt>
                <c:pt idx="13">
                  <c:v>0.48971923527646399</c:v>
                </c:pt>
                <c:pt idx="14">
                  <c:v>0.54713625844527136</c:v>
                </c:pt>
                <c:pt idx="15">
                  <c:v>0.60332313012118144</c:v>
                </c:pt>
                <c:pt idx="16">
                  <c:v>0.65690639386413452</c:v>
                </c:pt>
                <c:pt idx="17">
                  <c:v>0.70676406160282645</c:v>
                </c:pt>
                <c:pt idx="18">
                  <c:v>0.7521030079640405</c:v>
                </c:pt>
                <c:pt idx="19">
                  <c:v>0.79247968963108162</c:v>
                </c:pt>
                <c:pt idx="20">
                  <c:v>0.82777179441834225</c:v>
                </c:pt>
                <c:pt idx="21">
                  <c:v>0.85811764690947012</c:v>
                </c:pt>
                <c:pt idx="22">
                  <c:v>0.88384211072860652</c:v>
                </c:pt>
                <c:pt idx="23">
                  <c:v>0.90538421639301092</c:v>
                </c:pt>
                <c:pt idx="24">
                  <c:v>0.92323593272946147</c:v>
                </c:pt>
                <c:pt idx="25">
                  <c:v>0.93789595631502243</c:v>
                </c:pt>
                <c:pt idx="26">
                  <c:v>0.94983842087946468</c:v>
                </c:pt>
                <c:pt idx="27">
                  <c:v>0.95949423961001035</c:v>
                </c:pt>
                <c:pt idx="28">
                  <c:v>0.96724200934806326</c:v>
                </c:pt>
                <c:pt idx="29">
                  <c:v>0.97340549087590644</c:v>
                </c:pt>
                <c:pt idx="30">
                  <c:v>0.97825517847229881</c:v>
                </c:pt>
                <c:pt idx="31">
                  <c:v>0.98201208375159632</c:v>
                </c:pt>
                <c:pt idx="32">
                  <c:v>0.98485242258537353</c:v>
                </c:pt>
                <c:pt idx="33">
                  <c:v>0.98691234524302618</c:v>
                </c:pt>
                <c:pt idx="34">
                  <c:v>0.98829217928598379</c:v>
                </c:pt>
                <c:pt idx="35">
                  <c:v>0.98905987818961105</c:v>
                </c:pt>
                <c:pt idx="36">
                  <c:v>0.98925351035148634</c:v>
                </c:pt>
                <c:pt idx="37">
                  <c:v>0.98888270706882797</c:v>
                </c:pt>
                <c:pt idx="38">
                  <c:v>0.98792903494876461</c:v>
                </c:pt>
                <c:pt idx="39">
                  <c:v>0.98634528529225918</c:v>
                </c:pt>
                <c:pt idx="40">
                  <c:v>0.98405369518099661</c:v>
                </c:pt>
                <c:pt idx="41">
                  <c:v>0.98094314658561843</c:v>
                </c:pt>
                <c:pt idx="42">
                  <c:v>0.97686544627769734</c:v>
                </c:pt>
                <c:pt idx="43">
                  <c:v>0.97163088891234073</c:v>
                </c:pt>
                <c:pt idx="44">
                  <c:v>0.96500347021379629</c:v>
                </c:pt>
                <c:pt idx="45">
                  <c:v>0.95669637132508711</c:v>
                </c:pt>
                <c:pt idx="46">
                  <c:v>0.94636870195262812</c:v>
                </c:pt>
                <c:pt idx="47">
                  <c:v>0.93362497933384037</c:v>
                </c:pt>
                <c:pt idx="48">
                  <c:v>0.91801940941074311</c:v>
                </c:pt>
                <c:pt idx="49">
                  <c:v>0.89906763623545416</c:v>
                </c:pt>
                <c:pt idx="50">
                  <c:v>0.87626903504200648</c:v>
                </c:pt>
                <c:pt idx="51">
                  <c:v>0.84914249320653234</c:v>
                </c:pt>
                <c:pt idx="52">
                  <c:v>0.81727745673003038</c:v>
                </c:pt>
                <c:pt idx="53">
                  <c:v>0.78039929620859427</c:v>
                </c:pt>
                <c:pt idx="54">
                  <c:v>0.73844351738044312</c:v>
                </c:pt>
                <c:pt idx="55">
                  <c:v>0.69162751226293362</c:v>
                </c:pt>
                <c:pt idx="56">
                  <c:v>0.64050312847221758</c:v>
                </c:pt>
                <c:pt idx="57">
                  <c:v>0.5859711979585065</c:v>
                </c:pt>
                <c:pt idx="58">
                  <c:v>0.52924328324352832</c:v>
                </c:pt>
                <c:pt idx="59">
                  <c:v>0.47174730679215121</c:v>
                </c:pt>
                <c:pt idx="60">
                  <c:v>0.41498969333278551</c:v>
                </c:pt>
                <c:pt idx="61">
                  <c:v>0.36040089512852985</c:v>
                </c:pt>
                <c:pt idx="62">
                  <c:v>0.30919696235791533</c:v>
                </c:pt>
                <c:pt idx="63">
                  <c:v>0.2622842214736939</c:v>
                </c:pt>
                <c:pt idx="64">
                  <c:v>0.22021998055082243</c:v>
                </c:pt>
                <c:pt idx="65">
                  <c:v>0.18322618430250165</c:v>
                </c:pt>
                <c:pt idx="66">
                  <c:v>0.15124141577873931</c:v>
                </c:pt>
                <c:pt idx="67">
                  <c:v>0.12399239443329182</c:v>
                </c:pt>
                <c:pt idx="68">
                  <c:v>0.10106816810917726</c:v>
                </c:pt>
                <c:pt idx="69">
                  <c:v>8.1985583118706684E-2</c:v>
                </c:pt>
                <c:pt idx="70">
                  <c:v>6.6240455981367338E-2</c:v>
                </c:pt>
                <c:pt idx="71">
                  <c:v>5.3343428220135582E-2</c:v>
                </c:pt>
                <c:pt idx="72">
                  <c:v>4.2842238695894222E-2</c:v>
                </c:pt>
                <c:pt idx="73">
                  <c:v>3.43333354993006E-2</c:v>
                </c:pt>
                <c:pt idx="74">
                  <c:v>2.7465891408649776E-2</c:v>
                </c:pt>
                <c:pt idx="75">
                  <c:v>2.1940879971616076E-2</c:v>
                </c:pt>
                <c:pt idx="76">
                  <c:v>1.7507266497041488E-2</c:v>
                </c:pt>
                <c:pt idx="77">
                  <c:v>1.3956772465389702E-2</c:v>
                </c:pt>
                <c:pt idx="78">
                  <c:v>1.1118174269149211E-2</c:v>
                </c:pt>
                <c:pt idx="79">
                  <c:v>8.8517215289033117E-3</c:v>
                </c:pt>
                <c:pt idx="80">
                  <c:v>7.0439966605917205E-3</c:v>
                </c:pt>
                <c:pt idx="81">
                  <c:v>0.98925351035148634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84-46EB-8E01-050A202B4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970848"/>
        <c:axId val="338971240"/>
      </c:scatterChart>
      <c:valAx>
        <c:axId val="33897084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8971240"/>
        <c:crosses val="autoZero"/>
        <c:crossBetween val="midCat"/>
        <c:majorUnit val="1"/>
      </c:valAx>
      <c:valAx>
        <c:axId val="338971240"/>
        <c:scaling>
          <c:orientation val="minMax"/>
          <c:max val="1.1500000000000001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33897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/>
              <a:t>10nM MMP-1(S243C)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MMP-1(S243C)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'a1(I)'!$C$20:$Q$20</c:f>
                <c:numCache>
                  <c:formatCode>General</c:formatCode>
                  <c:ptCount val="15"/>
                  <c:pt idx="0">
                    <c:v>1.7420637102890968E-5</c:v>
                  </c:pt>
                  <c:pt idx="1">
                    <c:v>4.8974283240977252E-2</c:v>
                  </c:pt>
                  <c:pt idx="2">
                    <c:v>3.6407598746607366E-2</c:v>
                  </c:pt>
                  <c:pt idx="3">
                    <c:v>6.7891071378059525E-2</c:v>
                  </c:pt>
                  <c:pt idx="4">
                    <c:v>8.414547332856151E-2</c:v>
                  </c:pt>
                  <c:pt idx="5">
                    <c:v>5.3549672513872396E-2</c:v>
                  </c:pt>
                  <c:pt idx="6">
                    <c:v>6.8589480341350206E-2</c:v>
                  </c:pt>
                  <c:pt idx="7">
                    <c:v>9.8509709016945585E-2</c:v>
                  </c:pt>
                  <c:pt idx="8">
                    <c:v>0.10509274151219496</c:v>
                  </c:pt>
                  <c:pt idx="9">
                    <c:v>7.6927514858272456E-2</c:v>
                  </c:pt>
                  <c:pt idx="10">
                    <c:v>7.0226682571962268E-2</c:v>
                  </c:pt>
                  <c:pt idx="11">
                    <c:v>4.1972370910606814E-2</c:v>
                  </c:pt>
                  <c:pt idx="12">
                    <c:v>5.4228863073424297E-2</c:v>
                  </c:pt>
                  <c:pt idx="13">
                    <c:v>6.2374729730241239E-2</c:v>
                  </c:pt>
                  <c:pt idx="14">
                    <c:v>3.4611697305145427E-2</c:v>
                  </c:pt>
                </c:numCache>
              </c:numRef>
            </c:plus>
            <c:minus>
              <c:numRef>
                <c:f>'a1(I)'!$C$20:$Q$20</c:f>
                <c:numCache>
                  <c:formatCode>General</c:formatCode>
                  <c:ptCount val="15"/>
                  <c:pt idx="0">
                    <c:v>1.7420637102890968E-5</c:v>
                  </c:pt>
                  <c:pt idx="1">
                    <c:v>4.8974283240977252E-2</c:v>
                  </c:pt>
                  <c:pt idx="2">
                    <c:v>3.6407598746607366E-2</c:v>
                  </c:pt>
                  <c:pt idx="3">
                    <c:v>6.7891071378059525E-2</c:v>
                  </c:pt>
                  <c:pt idx="4">
                    <c:v>8.414547332856151E-2</c:v>
                  </c:pt>
                  <c:pt idx="5">
                    <c:v>5.3549672513872396E-2</c:v>
                  </c:pt>
                  <c:pt idx="6">
                    <c:v>6.8589480341350206E-2</c:v>
                  </c:pt>
                  <c:pt idx="7">
                    <c:v>9.8509709016945585E-2</c:v>
                  </c:pt>
                  <c:pt idx="8">
                    <c:v>0.10509274151219496</c:v>
                  </c:pt>
                  <c:pt idx="9">
                    <c:v>7.6927514858272456E-2</c:v>
                  </c:pt>
                  <c:pt idx="10">
                    <c:v>7.0226682571962268E-2</c:v>
                  </c:pt>
                  <c:pt idx="11">
                    <c:v>4.1972370910606814E-2</c:v>
                  </c:pt>
                  <c:pt idx="12">
                    <c:v>5.4228863073424297E-2</c:v>
                  </c:pt>
                  <c:pt idx="13">
                    <c:v>6.2374729730241239E-2</c:v>
                  </c:pt>
                  <c:pt idx="14">
                    <c:v>3.4611697305145427E-2</c:v>
                  </c:pt>
                </c:numCache>
              </c:numRef>
            </c:minus>
            <c:spPr>
              <a:ln cap="sq"/>
            </c:spPr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'a1(I)'!$C$19:$Q$19</c:f>
              <c:numCache>
                <c:formatCode>0.0%</c:formatCode>
                <c:ptCount val="15"/>
                <c:pt idx="0">
                  <c:v>1.0057809520808882E-5</c:v>
                </c:pt>
                <c:pt idx="1">
                  <c:v>0.11250492940566735</c:v>
                </c:pt>
                <c:pt idx="2">
                  <c:v>0.4318432072753986</c:v>
                </c:pt>
                <c:pt idx="3">
                  <c:v>0.7919627785797424</c:v>
                </c:pt>
                <c:pt idx="4">
                  <c:v>0.92120268646755676</c:v>
                </c:pt>
                <c:pt idx="5">
                  <c:v>0.94818856772175175</c:v>
                </c:pt>
                <c:pt idx="6">
                  <c:v>1</c:v>
                </c:pt>
                <c:pt idx="7">
                  <c:v>0.97728139416649717</c:v>
                </c:pt>
                <c:pt idx="8">
                  <c:v>0.85923724359121523</c:v>
                </c:pt>
                <c:pt idx="9">
                  <c:v>0.64058930776340872</c:v>
                </c:pt>
                <c:pt idx="10">
                  <c:v>0.47445788049151433</c:v>
                </c:pt>
                <c:pt idx="11">
                  <c:v>0.29789243782557384</c:v>
                </c:pt>
                <c:pt idx="12">
                  <c:v>0.14634632121547636</c:v>
                </c:pt>
                <c:pt idx="13">
                  <c:v>3.6015227147835616E-2</c:v>
                </c:pt>
                <c:pt idx="14">
                  <c:v>1.9983206069423089E-2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93-4974-ABE8-B283400B27F6}"/>
            </c:ext>
          </c:extLst>
        </c:ser>
        <c:ser>
          <c:idx val="2"/>
          <c:order val="1"/>
          <c:tx>
            <c:v>Fit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'a1(I)'!$BE$3:$EG$3</c:f>
              <c:numCache>
                <c:formatCode>0.0</c:formatCode>
                <c:ptCount val="81"/>
                <c:pt idx="0">
                  <c:v>4</c:v>
                </c:pt>
                <c:pt idx="1">
                  <c:v>4.0999999999999996</c:v>
                </c:pt>
                <c:pt idx="2">
                  <c:v>4.2</c:v>
                </c:pt>
                <c:pt idx="3">
                  <c:v>4.3</c:v>
                </c:pt>
                <c:pt idx="4">
                  <c:v>4.4000000000000004</c:v>
                </c:pt>
                <c:pt idx="5">
                  <c:v>4.5</c:v>
                </c:pt>
                <c:pt idx="6">
                  <c:v>4.5999999999999996</c:v>
                </c:pt>
                <c:pt idx="7">
                  <c:v>4.7</c:v>
                </c:pt>
                <c:pt idx="8">
                  <c:v>4.8</c:v>
                </c:pt>
                <c:pt idx="9">
                  <c:v>4.9000000000000004</c:v>
                </c:pt>
                <c:pt idx="10">
                  <c:v>5</c:v>
                </c:pt>
                <c:pt idx="11">
                  <c:v>5.0999999999999996</c:v>
                </c:pt>
                <c:pt idx="12">
                  <c:v>5.2</c:v>
                </c:pt>
                <c:pt idx="13">
                  <c:v>5.3</c:v>
                </c:pt>
                <c:pt idx="14">
                  <c:v>5.4</c:v>
                </c:pt>
                <c:pt idx="15">
                  <c:v>5.4999999999999902</c:v>
                </c:pt>
                <c:pt idx="16">
                  <c:v>5.5999999999999899</c:v>
                </c:pt>
                <c:pt idx="17">
                  <c:v>5.6999999999999904</c:v>
                </c:pt>
                <c:pt idx="18">
                  <c:v>5.7999999999999901</c:v>
                </c:pt>
                <c:pt idx="19">
                  <c:v>5.8999999999999897</c:v>
                </c:pt>
                <c:pt idx="20">
                  <c:v>5.9999999999999902</c:v>
                </c:pt>
                <c:pt idx="21">
                  <c:v>6.0999999999999899</c:v>
                </c:pt>
                <c:pt idx="22">
                  <c:v>6.1999999999999904</c:v>
                </c:pt>
                <c:pt idx="23">
                  <c:v>6.2999999999999901</c:v>
                </c:pt>
                <c:pt idx="24">
                  <c:v>6.3999999999999897</c:v>
                </c:pt>
                <c:pt idx="25">
                  <c:v>6.4999999999999902</c:v>
                </c:pt>
                <c:pt idx="26">
                  <c:v>6.5999999999999899</c:v>
                </c:pt>
                <c:pt idx="27">
                  <c:v>6.6999999999999904</c:v>
                </c:pt>
                <c:pt idx="28">
                  <c:v>6.7999999999999901</c:v>
                </c:pt>
                <c:pt idx="29">
                  <c:v>6.8999999999999897</c:v>
                </c:pt>
                <c:pt idx="30">
                  <c:v>6.9999999999999902</c:v>
                </c:pt>
                <c:pt idx="31">
                  <c:v>7.0999999999999899</c:v>
                </c:pt>
                <c:pt idx="32">
                  <c:v>7.1999999999999904</c:v>
                </c:pt>
                <c:pt idx="33">
                  <c:v>7.2999999999999901</c:v>
                </c:pt>
                <c:pt idx="34">
                  <c:v>7.3999999999999897</c:v>
                </c:pt>
                <c:pt idx="35">
                  <c:v>7.4999999999999902</c:v>
                </c:pt>
                <c:pt idx="36">
                  <c:v>7.5999999999999899</c:v>
                </c:pt>
                <c:pt idx="37">
                  <c:v>7.6999999999999904</c:v>
                </c:pt>
                <c:pt idx="38">
                  <c:v>7.7999999999999901</c:v>
                </c:pt>
                <c:pt idx="39">
                  <c:v>7.8999999999999897</c:v>
                </c:pt>
                <c:pt idx="40">
                  <c:v>7.9999999999999902</c:v>
                </c:pt>
                <c:pt idx="41">
                  <c:v>8.0999999999999908</c:v>
                </c:pt>
                <c:pt idx="42">
                  <c:v>8.1999999999999904</c:v>
                </c:pt>
                <c:pt idx="43">
                  <c:v>8.2999999999999794</c:v>
                </c:pt>
                <c:pt idx="44">
                  <c:v>8.3999999999999808</c:v>
                </c:pt>
                <c:pt idx="45">
                  <c:v>8.4999999999999805</c:v>
                </c:pt>
                <c:pt idx="46">
                  <c:v>8.5999999999999801</c:v>
                </c:pt>
                <c:pt idx="47">
                  <c:v>8.6999999999999797</c:v>
                </c:pt>
                <c:pt idx="48">
                  <c:v>8.7999999999999794</c:v>
                </c:pt>
                <c:pt idx="49">
                  <c:v>8.8999999999999808</c:v>
                </c:pt>
                <c:pt idx="50">
                  <c:v>8.9999999999999805</c:v>
                </c:pt>
                <c:pt idx="51">
                  <c:v>9.0999999999999801</c:v>
                </c:pt>
                <c:pt idx="52">
                  <c:v>9.1999999999999797</c:v>
                </c:pt>
                <c:pt idx="53">
                  <c:v>9.2999999999999794</c:v>
                </c:pt>
                <c:pt idx="54">
                  <c:v>9.3999999999999808</c:v>
                </c:pt>
                <c:pt idx="55">
                  <c:v>9.4999999999999805</c:v>
                </c:pt>
                <c:pt idx="56">
                  <c:v>9.5999999999999801</c:v>
                </c:pt>
                <c:pt idx="57">
                  <c:v>9.6999999999999797</c:v>
                </c:pt>
                <c:pt idx="58">
                  <c:v>9.7999999999999794</c:v>
                </c:pt>
                <c:pt idx="59">
                  <c:v>9.8999999999999808</c:v>
                </c:pt>
                <c:pt idx="60">
                  <c:v>9.9999999999999805</c:v>
                </c:pt>
                <c:pt idx="61">
                  <c:v>10.1</c:v>
                </c:pt>
                <c:pt idx="62">
                  <c:v>10.199999999999999</c:v>
                </c:pt>
                <c:pt idx="63">
                  <c:v>10.3</c:v>
                </c:pt>
                <c:pt idx="64">
                  <c:v>10.4</c:v>
                </c:pt>
                <c:pt idx="65">
                  <c:v>10.5</c:v>
                </c:pt>
                <c:pt idx="66">
                  <c:v>10.6</c:v>
                </c:pt>
                <c:pt idx="67">
                  <c:v>10.7</c:v>
                </c:pt>
                <c:pt idx="68">
                  <c:v>10.8</c:v>
                </c:pt>
                <c:pt idx="69">
                  <c:v>10.9</c:v>
                </c:pt>
                <c:pt idx="70">
                  <c:v>11</c:v>
                </c:pt>
                <c:pt idx="71">
                  <c:v>11.1</c:v>
                </c:pt>
                <c:pt idx="72">
                  <c:v>11.2</c:v>
                </c:pt>
                <c:pt idx="73">
                  <c:v>11.3</c:v>
                </c:pt>
                <c:pt idx="74">
                  <c:v>11.4</c:v>
                </c:pt>
                <c:pt idx="75">
                  <c:v>11.5</c:v>
                </c:pt>
                <c:pt idx="76">
                  <c:v>11.6</c:v>
                </c:pt>
                <c:pt idx="77">
                  <c:v>11.7</c:v>
                </c:pt>
                <c:pt idx="78">
                  <c:v>11.8</c:v>
                </c:pt>
                <c:pt idx="79">
                  <c:v>11.9</c:v>
                </c:pt>
                <c:pt idx="80">
                  <c:v>12</c:v>
                </c:pt>
              </c:numCache>
            </c:numRef>
          </c:xVal>
          <c:yVal>
            <c:numRef>
              <c:f>'a1(I)'!$BE$21:$EG$21</c:f>
              <c:numCache>
                <c:formatCode>0.000%</c:formatCode>
                <c:ptCount val="81"/>
                <c:pt idx="0">
                  <c:v>4.0793307910116532E-2</c:v>
                </c:pt>
                <c:pt idx="1">
                  <c:v>5.0818925881857602E-2</c:v>
                </c:pt>
                <c:pt idx="2">
                  <c:v>6.3146283279827159E-2</c:v>
                </c:pt>
                <c:pt idx="3">
                  <c:v>7.8217502888688242E-2</c:v>
                </c:pt>
                <c:pt idx="4">
                  <c:v>9.6515189539456883E-2</c:v>
                </c:pt>
                <c:pt idx="5">
                  <c:v>0.11854279348258547</c:v>
                </c:pt>
                <c:pt idx="6">
                  <c:v>0.14479198238233354</c:v>
                </c:pt>
                <c:pt idx="7">
                  <c:v>0.17569490497487</c:v>
                </c:pt>
                <c:pt idx="8">
                  <c:v>0.21156159770081004</c:v>
                </c:pt>
                <c:pt idx="9">
                  <c:v>0.25250695265035233</c:v>
                </c:pt>
                <c:pt idx="10">
                  <c:v>0.29837732271701317</c:v>
                </c:pt>
                <c:pt idx="11">
                  <c:v>0.34869254456953469</c:v>
                </c:pt>
                <c:pt idx="12">
                  <c:v>0.40262222970967698</c:v>
                </c:pt>
                <c:pt idx="13">
                  <c:v>0.45901251491778361</c:v>
                </c:pt>
                <c:pt idx="14">
                  <c:v>0.51646946070274002</c:v>
                </c:pt>
                <c:pt idx="15">
                  <c:v>0.57348982902258594</c:v>
                </c:pt>
                <c:pt idx="16">
                  <c:v>0.62861478154833106</c:v>
                </c:pt>
                <c:pt idx="17">
                  <c:v>0.68057410444882926</c:v>
                </c:pt>
                <c:pt idx="18">
                  <c:v>0.7283918825883936</c:v>
                </c:pt>
                <c:pt idx="19">
                  <c:v>0.77143741920940656</c:v>
                </c:pt>
                <c:pt idx="20">
                  <c:v>0.80942140282248454</c:v>
                </c:pt>
                <c:pt idx="21">
                  <c:v>0.84235012775245766</c:v>
                </c:pt>
                <c:pt idx="22">
                  <c:v>0.87045633325784766</c:v>
                </c:pt>
                <c:pt idx="23">
                  <c:v>0.89412425325668654</c:v>
                </c:pt>
                <c:pt idx="24">
                  <c:v>0.91382150168675746</c:v>
                </c:pt>
                <c:pt idx="25">
                  <c:v>0.93004448430613951</c:v>
                </c:pt>
                <c:pt idx="26">
                  <c:v>0.94327912797468649</c:v>
                </c:pt>
                <c:pt idx="27">
                  <c:v>0.9539755953917245</c:v>
                </c:pt>
                <c:pt idx="28">
                  <c:v>0.9625341804416655</c:v>
                </c:pt>
                <c:pt idx="29">
                  <c:v>0.96929926246832332</c:v>
                </c:pt>
                <c:pt idx="30">
                  <c:v>0.97455852059843517</c:v>
                </c:pt>
                <c:pt idx="31">
                  <c:v>0.9785451861256238</c:v>
                </c:pt>
                <c:pt idx="32">
                  <c:v>0.98144171099937483</c:v>
                </c:pt>
                <c:pt idx="33">
                  <c:v>0.98338374380202775</c:v>
                </c:pt>
                <c:pt idx="34">
                  <c:v>0.98446369768820086</c:v>
                </c:pt>
                <c:pt idx="35">
                  <c:v>0.98473347413936918</c:v>
                </c:pt>
                <c:pt idx="36">
                  <c:v>0.98420609549288718</c:v>
                </c:pt>
                <c:pt idx="37">
                  <c:v>0.98285612607361672</c:v>
                </c:pt>
                <c:pt idx="38">
                  <c:v>0.98061885392063675</c:v>
                </c:pt>
                <c:pt idx="39">
                  <c:v>0.97738828861948235</c:v>
                </c:pt>
                <c:pt idx="40">
                  <c:v>0.97301413118265279</c:v>
                </c:pt>
                <c:pt idx="41">
                  <c:v>0.96729801575330321</c:v>
                </c:pt>
                <c:pt idx="42">
                  <c:v>0.95998953808593857</c:v>
                </c:pt>
                <c:pt idx="43">
                  <c:v>0.9507828996707014</c:v>
                </c:pt>
                <c:pt idx="44">
                  <c:v>0.93931542880587471</c:v>
                </c:pt>
                <c:pt idx="45">
                  <c:v>0.92516978765833524</c:v>
                </c:pt>
                <c:pt idx="46">
                  <c:v>0.90788228382373404</c:v>
                </c:pt>
                <c:pt idx="47">
                  <c:v>0.886960232226916</c:v>
                </c:pt>
                <c:pt idx="48">
                  <c:v>0.86191147977389981</c:v>
                </c:pt>
                <c:pt idx="49">
                  <c:v>0.83228857612592499</c:v>
                </c:pt>
                <c:pt idx="50">
                  <c:v>0.79774811495798392</c:v>
                </c:pt>
                <c:pt idx="51">
                  <c:v>0.75812205768538876</c:v>
                </c:pt>
                <c:pt idx="52">
                  <c:v>0.71349248172313273</c:v>
                </c:pt>
                <c:pt idx="53">
                  <c:v>0.66425529106938719</c:v>
                </c:pt>
                <c:pt idx="54">
                  <c:v>0.6111543920965975</c:v>
                </c:pt>
                <c:pt idx="55">
                  <c:v>0.55526880419487989</c:v>
                </c:pt>
                <c:pt idx="56">
                  <c:v>0.49794334333821832</c:v>
                </c:pt>
                <c:pt idx="57">
                  <c:v>0.44066800990845412</c:v>
                </c:pt>
                <c:pt idx="58">
                  <c:v>0.38492714618119417</c:v>
                </c:pt>
                <c:pt idx="59">
                  <c:v>0.3320497529058109</c:v>
                </c:pt>
                <c:pt idx="60">
                  <c:v>0.28309194354053629</c:v>
                </c:pt>
                <c:pt idx="61">
                  <c:v>0.23877157929000431</c:v>
                </c:pt>
                <c:pt idx="62">
                  <c:v>0.19945906868024013</c:v>
                </c:pt>
                <c:pt idx="63">
                  <c:v>0.16521415032606088</c:v>
                </c:pt>
                <c:pt idx="64">
                  <c:v>0.13585083266313019</c:v>
                </c:pt>
                <c:pt idx="65">
                  <c:v>0.1110121437350199</c:v>
                </c:pt>
                <c:pt idx="66">
                  <c:v>9.0240609677307043E-2</c:v>
                </c:pt>
                <c:pt idx="67">
                  <c:v>7.3036309184887974E-2</c:v>
                </c:pt>
                <c:pt idx="68">
                  <c:v>5.8899623766162715E-2</c:v>
                </c:pt>
                <c:pt idx="69">
                  <c:v>4.735938324577324E-2</c:v>
                </c:pt>
                <c:pt idx="70">
                  <c:v>3.7988950201959658E-2</c:v>
                </c:pt>
                <c:pt idx="71">
                  <c:v>3.0413338053853007E-2</c:v>
                </c:pt>
                <c:pt idx="72">
                  <c:v>2.4310247298906542E-2</c:v>
                </c:pt>
                <c:pt idx="73">
                  <c:v>1.9407357315639199E-2</c:v>
                </c:pt>
                <c:pt idx="74">
                  <c:v>1.5477595211044835E-2</c:v>
                </c:pt>
                <c:pt idx="75">
                  <c:v>1.2333554743739369E-2</c:v>
                </c:pt>
                <c:pt idx="76">
                  <c:v>9.8218069080128218E-3</c:v>
                </c:pt>
                <c:pt idx="77">
                  <c:v>7.8175314480796558E-3</c:v>
                </c:pt>
                <c:pt idx="78">
                  <c:v>6.2196868544156896E-3</c:v>
                </c:pt>
                <c:pt idx="79">
                  <c:v>4.9468012779632156E-3</c:v>
                </c:pt>
                <c:pt idx="80">
                  <c:v>3.9333860623031944E-3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93-4974-ABE8-B283400B2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972024"/>
        <c:axId val="338972416"/>
      </c:scatterChart>
      <c:valAx>
        <c:axId val="33897202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8972416"/>
        <c:crosses val="autoZero"/>
        <c:crossBetween val="midCat"/>
        <c:majorUnit val="1"/>
      </c:valAx>
      <c:valAx>
        <c:axId val="338972416"/>
        <c:scaling>
          <c:orientation val="minMax"/>
          <c:max val="1.1500000000000001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338972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/>
              <a:t>10nM MMP-1(S318C)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MMP-1(S318C)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'a1(I)'!$C$29:$Q$29</c:f>
                <c:numCache>
                  <c:formatCode>General</c:formatCode>
                  <c:ptCount val="15"/>
                  <c:pt idx="0">
                    <c:v>9.8980424605627348E-3</c:v>
                  </c:pt>
                  <c:pt idx="1">
                    <c:v>2.763751162199506E-2</c:v>
                  </c:pt>
                  <c:pt idx="2">
                    <c:v>4.1862239986283606E-2</c:v>
                  </c:pt>
                  <c:pt idx="3">
                    <c:v>3.0480368382001834E-2</c:v>
                  </c:pt>
                  <c:pt idx="4">
                    <c:v>6.2866139839720087E-2</c:v>
                  </c:pt>
                  <c:pt idx="5">
                    <c:v>5.5539628891693005E-2</c:v>
                  </c:pt>
                  <c:pt idx="6">
                    <c:v>3.609108617853652E-2</c:v>
                  </c:pt>
                  <c:pt idx="7">
                    <c:v>6.8203274106682713E-2</c:v>
                  </c:pt>
                  <c:pt idx="8">
                    <c:v>7.7445421068754045E-2</c:v>
                  </c:pt>
                  <c:pt idx="9">
                    <c:v>3.8775372839367543E-2</c:v>
                  </c:pt>
                  <c:pt idx="10">
                    <c:v>4.2303197317077705E-2</c:v>
                  </c:pt>
                  <c:pt idx="11">
                    <c:v>2.0164500334245682E-2</c:v>
                  </c:pt>
                  <c:pt idx="12">
                    <c:v>4.5230579451176395E-2</c:v>
                  </c:pt>
                  <c:pt idx="13">
                    <c:v>4.2279682584733906E-2</c:v>
                  </c:pt>
                  <c:pt idx="14">
                    <c:v>1.8477166581912001E-2</c:v>
                  </c:pt>
                </c:numCache>
              </c:numRef>
            </c:plus>
            <c:minus>
              <c:numRef>
                <c:f>'a1(I)'!$C$29:$Q$29</c:f>
                <c:numCache>
                  <c:formatCode>General</c:formatCode>
                  <c:ptCount val="15"/>
                  <c:pt idx="0">
                    <c:v>9.8980424605627348E-3</c:v>
                  </c:pt>
                  <c:pt idx="1">
                    <c:v>2.763751162199506E-2</c:v>
                  </c:pt>
                  <c:pt idx="2">
                    <c:v>4.1862239986283606E-2</c:v>
                  </c:pt>
                  <c:pt idx="3">
                    <c:v>3.0480368382001834E-2</c:v>
                  </c:pt>
                  <c:pt idx="4">
                    <c:v>6.2866139839720087E-2</c:v>
                  </c:pt>
                  <c:pt idx="5">
                    <c:v>5.5539628891693005E-2</c:v>
                  </c:pt>
                  <c:pt idx="6">
                    <c:v>3.609108617853652E-2</c:v>
                  </c:pt>
                  <c:pt idx="7">
                    <c:v>6.8203274106682713E-2</c:v>
                  </c:pt>
                  <c:pt idx="8">
                    <c:v>7.7445421068754045E-2</c:v>
                  </c:pt>
                  <c:pt idx="9">
                    <c:v>3.8775372839367543E-2</c:v>
                  </c:pt>
                  <c:pt idx="10">
                    <c:v>4.2303197317077705E-2</c:v>
                  </c:pt>
                  <c:pt idx="11">
                    <c:v>2.0164500334245682E-2</c:v>
                  </c:pt>
                  <c:pt idx="12">
                    <c:v>4.5230579451176395E-2</c:v>
                  </c:pt>
                  <c:pt idx="13">
                    <c:v>4.2279682584733906E-2</c:v>
                  </c:pt>
                  <c:pt idx="14">
                    <c:v>1.8477166581912001E-2</c:v>
                  </c:pt>
                </c:numCache>
              </c:numRef>
            </c:minus>
            <c:spPr>
              <a:ln cap="sq"/>
            </c:spPr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'a1(I)'!$C$28:$Q$28</c:f>
              <c:numCache>
                <c:formatCode>0.0%</c:formatCode>
                <c:ptCount val="15"/>
                <c:pt idx="0">
                  <c:v>1.1420518120354448E-2</c:v>
                </c:pt>
                <c:pt idx="1">
                  <c:v>9.3342903027940682E-2</c:v>
                </c:pt>
                <c:pt idx="2">
                  <c:v>0.39817550813743058</c:v>
                </c:pt>
                <c:pt idx="3">
                  <c:v>0.7156489077903998</c:v>
                </c:pt>
                <c:pt idx="4">
                  <c:v>0.88056047710469665</c:v>
                </c:pt>
                <c:pt idx="5">
                  <c:v>0.93773625886910728</c:v>
                </c:pt>
                <c:pt idx="6">
                  <c:v>1</c:v>
                </c:pt>
                <c:pt idx="7">
                  <c:v>0.98569220808130409</c:v>
                </c:pt>
                <c:pt idx="8">
                  <c:v>0.799887646889337</c:v>
                </c:pt>
                <c:pt idx="9">
                  <c:v>0.54421108729836687</c:v>
                </c:pt>
                <c:pt idx="10">
                  <c:v>0.38420352310865191</c:v>
                </c:pt>
                <c:pt idx="11">
                  <c:v>0.25284145597749019</c:v>
                </c:pt>
                <c:pt idx="12">
                  <c:v>0.14371497106222966</c:v>
                </c:pt>
                <c:pt idx="13">
                  <c:v>5.2809296747202243E-2</c:v>
                </c:pt>
                <c:pt idx="14">
                  <c:v>1.0667797099928451E-2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4-4BC4-9099-BDE3B753448E}"/>
            </c:ext>
          </c:extLst>
        </c:ser>
        <c:ser>
          <c:idx val="2"/>
          <c:order val="1"/>
          <c:tx>
            <c:v>Fit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'a1(I)'!$BE$3:$EG$3</c:f>
              <c:numCache>
                <c:formatCode>0.0</c:formatCode>
                <c:ptCount val="81"/>
                <c:pt idx="0">
                  <c:v>4</c:v>
                </c:pt>
                <c:pt idx="1">
                  <c:v>4.0999999999999996</c:v>
                </c:pt>
                <c:pt idx="2">
                  <c:v>4.2</c:v>
                </c:pt>
                <c:pt idx="3">
                  <c:v>4.3</c:v>
                </c:pt>
                <c:pt idx="4">
                  <c:v>4.4000000000000004</c:v>
                </c:pt>
                <c:pt idx="5">
                  <c:v>4.5</c:v>
                </c:pt>
                <c:pt idx="6">
                  <c:v>4.5999999999999996</c:v>
                </c:pt>
                <c:pt idx="7">
                  <c:v>4.7</c:v>
                </c:pt>
                <c:pt idx="8">
                  <c:v>4.8</c:v>
                </c:pt>
                <c:pt idx="9">
                  <c:v>4.9000000000000004</c:v>
                </c:pt>
                <c:pt idx="10">
                  <c:v>5</c:v>
                </c:pt>
                <c:pt idx="11">
                  <c:v>5.0999999999999996</c:v>
                </c:pt>
                <c:pt idx="12">
                  <c:v>5.2</c:v>
                </c:pt>
                <c:pt idx="13">
                  <c:v>5.3</c:v>
                </c:pt>
                <c:pt idx="14">
                  <c:v>5.4</c:v>
                </c:pt>
                <c:pt idx="15">
                  <c:v>5.4999999999999902</c:v>
                </c:pt>
                <c:pt idx="16">
                  <c:v>5.5999999999999899</c:v>
                </c:pt>
                <c:pt idx="17">
                  <c:v>5.6999999999999904</c:v>
                </c:pt>
                <c:pt idx="18">
                  <c:v>5.7999999999999901</c:v>
                </c:pt>
                <c:pt idx="19">
                  <c:v>5.8999999999999897</c:v>
                </c:pt>
                <c:pt idx="20">
                  <c:v>5.9999999999999902</c:v>
                </c:pt>
                <c:pt idx="21">
                  <c:v>6.0999999999999899</c:v>
                </c:pt>
                <c:pt idx="22">
                  <c:v>6.1999999999999904</c:v>
                </c:pt>
                <c:pt idx="23">
                  <c:v>6.2999999999999901</c:v>
                </c:pt>
                <c:pt idx="24">
                  <c:v>6.3999999999999897</c:v>
                </c:pt>
                <c:pt idx="25">
                  <c:v>6.4999999999999902</c:v>
                </c:pt>
                <c:pt idx="26">
                  <c:v>6.5999999999999899</c:v>
                </c:pt>
                <c:pt idx="27">
                  <c:v>6.6999999999999904</c:v>
                </c:pt>
                <c:pt idx="28">
                  <c:v>6.7999999999999901</c:v>
                </c:pt>
                <c:pt idx="29">
                  <c:v>6.8999999999999897</c:v>
                </c:pt>
                <c:pt idx="30">
                  <c:v>6.9999999999999902</c:v>
                </c:pt>
                <c:pt idx="31">
                  <c:v>7.0999999999999899</c:v>
                </c:pt>
                <c:pt idx="32">
                  <c:v>7.1999999999999904</c:v>
                </c:pt>
                <c:pt idx="33">
                  <c:v>7.2999999999999901</c:v>
                </c:pt>
                <c:pt idx="34">
                  <c:v>7.3999999999999897</c:v>
                </c:pt>
                <c:pt idx="35">
                  <c:v>7.4999999999999902</c:v>
                </c:pt>
                <c:pt idx="36">
                  <c:v>7.5999999999999899</c:v>
                </c:pt>
                <c:pt idx="37">
                  <c:v>7.6999999999999904</c:v>
                </c:pt>
                <c:pt idx="38">
                  <c:v>7.7999999999999901</c:v>
                </c:pt>
                <c:pt idx="39">
                  <c:v>7.8999999999999897</c:v>
                </c:pt>
                <c:pt idx="40">
                  <c:v>7.9999999999999902</c:v>
                </c:pt>
                <c:pt idx="41">
                  <c:v>8.0999999999999908</c:v>
                </c:pt>
                <c:pt idx="42">
                  <c:v>8.1999999999999904</c:v>
                </c:pt>
                <c:pt idx="43">
                  <c:v>8.2999999999999794</c:v>
                </c:pt>
                <c:pt idx="44">
                  <c:v>8.3999999999999808</c:v>
                </c:pt>
                <c:pt idx="45">
                  <c:v>8.4999999999999805</c:v>
                </c:pt>
                <c:pt idx="46">
                  <c:v>8.5999999999999801</c:v>
                </c:pt>
                <c:pt idx="47">
                  <c:v>8.6999999999999797</c:v>
                </c:pt>
                <c:pt idx="48">
                  <c:v>8.7999999999999794</c:v>
                </c:pt>
                <c:pt idx="49">
                  <c:v>8.8999999999999808</c:v>
                </c:pt>
                <c:pt idx="50">
                  <c:v>8.9999999999999805</c:v>
                </c:pt>
                <c:pt idx="51">
                  <c:v>9.0999999999999801</c:v>
                </c:pt>
                <c:pt idx="52">
                  <c:v>9.1999999999999797</c:v>
                </c:pt>
                <c:pt idx="53">
                  <c:v>9.2999999999999794</c:v>
                </c:pt>
                <c:pt idx="54">
                  <c:v>9.3999999999999808</c:v>
                </c:pt>
                <c:pt idx="55">
                  <c:v>9.4999999999999805</c:v>
                </c:pt>
                <c:pt idx="56">
                  <c:v>9.5999999999999801</c:v>
                </c:pt>
                <c:pt idx="57">
                  <c:v>9.6999999999999797</c:v>
                </c:pt>
                <c:pt idx="58">
                  <c:v>9.7999999999999794</c:v>
                </c:pt>
                <c:pt idx="59">
                  <c:v>9.8999999999999808</c:v>
                </c:pt>
                <c:pt idx="60">
                  <c:v>9.9999999999999805</c:v>
                </c:pt>
                <c:pt idx="61">
                  <c:v>10.1</c:v>
                </c:pt>
                <c:pt idx="62">
                  <c:v>10.199999999999999</c:v>
                </c:pt>
                <c:pt idx="63">
                  <c:v>10.3</c:v>
                </c:pt>
                <c:pt idx="64">
                  <c:v>10.4</c:v>
                </c:pt>
                <c:pt idx="65">
                  <c:v>10.5</c:v>
                </c:pt>
                <c:pt idx="66">
                  <c:v>10.6</c:v>
                </c:pt>
                <c:pt idx="67">
                  <c:v>10.7</c:v>
                </c:pt>
                <c:pt idx="68">
                  <c:v>10.8</c:v>
                </c:pt>
                <c:pt idx="69">
                  <c:v>10.9</c:v>
                </c:pt>
                <c:pt idx="70">
                  <c:v>11</c:v>
                </c:pt>
                <c:pt idx="71">
                  <c:v>11.1</c:v>
                </c:pt>
                <c:pt idx="72">
                  <c:v>11.2</c:v>
                </c:pt>
                <c:pt idx="73">
                  <c:v>11.3</c:v>
                </c:pt>
                <c:pt idx="74">
                  <c:v>11.4</c:v>
                </c:pt>
                <c:pt idx="75">
                  <c:v>11.5</c:v>
                </c:pt>
                <c:pt idx="76">
                  <c:v>11.6</c:v>
                </c:pt>
                <c:pt idx="77">
                  <c:v>11.7</c:v>
                </c:pt>
                <c:pt idx="78">
                  <c:v>11.8</c:v>
                </c:pt>
                <c:pt idx="79">
                  <c:v>11.9</c:v>
                </c:pt>
                <c:pt idx="80">
                  <c:v>12</c:v>
                </c:pt>
              </c:numCache>
            </c:numRef>
          </c:xVal>
          <c:yVal>
            <c:numRef>
              <c:f>'a1(I)'!$BE$30:$EG$30</c:f>
              <c:numCache>
                <c:formatCode>0.000%</c:formatCode>
                <c:ptCount val="81"/>
                <c:pt idx="0">
                  <c:v>3.2882063829759126E-2</c:v>
                </c:pt>
                <c:pt idx="1">
                  <c:v>4.1046554601372333E-2</c:v>
                </c:pt>
                <c:pt idx="2">
                  <c:v>5.113106543356262E-2</c:v>
                </c:pt>
                <c:pt idx="3">
                  <c:v>6.3529026386464515E-2</c:v>
                </c:pt>
                <c:pt idx="4">
                  <c:v>7.8683851609132771E-2</c:v>
                </c:pt>
                <c:pt idx="5">
                  <c:v>9.7079029882237586E-2</c:v>
                </c:pt>
                <c:pt idx="6">
                  <c:v>0.11921816000336811</c:v>
                </c:pt>
                <c:pt idx="7">
                  <c:v>0.14559191620436673</c:v>
                </c:pt>
                <c:pt idx="8">
                  <c:v>0.17662987050722348</c:v>
                </c:pt>
                <c:pt idx="9">
                  <c:v>0.2126375149099699</c:v>
                </c:pt>
                <c:pt idx="10">
                  <c:v>0.25372304374299998</c:v>
                </c:pt>
                <c:pt idx="11">
                  <c:v>0.2997241414641641</c:v>
                </c:pt>
                <c:pt idx="12">
                  <c:v>0.35015069365320595</c:v>
                </c:pt>
                <c:pt idx="13">
                  <c:v>0.40416228847215374</c:v>
                </c:pt>
                <c:pt idx="14">
                  <c:v>0.46059652040351079</c:v>
                </c:pt>
                <c:pt idx="15">
                  <c:v>0.51805390644366689</c:v>
                </c:pt>
                <c:pt idx="16">
                  <c:v>0.57502968161530432</c:v>
                </c:pt>
                <c:pt idx="17">
                  <c:v>0.63006766179438611</c:v>
                </c:pt>
                <c:pt idx="18">
                  <c:v>0.681903710291617</c:v>
                </c:pt>
                <c:pt idx="19">
                  <c:v>0.72956998001480589</c:v>
                </c:pt>
                <c:pt idx="20">
                  <c:v>0.77244416745714195</c:v>
                </c:pt>
                <c:pt idx="21">
                  <c:v>0.81024420885705351</c:v>
                </c:pt>
                <c:pt idx="22">
                  <c:v>0.84298148620048596</c:v>
                </c:pt>
                <c:pt idx="23">
                  <c:v>0.87089115922470384</c:v>
                </c:pt>
                <c:pt idx="24">
                  <c:v>0.89435711032749121</c:v>
                </c:pt>
                <c:pt idx="25">
                  <c:v>0.91384395519355233</c:v>
                </c:pt>
                <c:pt idx="26">
                  <c:v>0.92984264376750836</c:v>
                </c:pt>
                <c:pt idx="27">
                  <c:v>0.94283131929659536</c:v>
                </c:pt>
                <c:pt idx="28">
                  <c:v>0.95325002863999841</c:v>
                </c:pt>
                <c:pt idx="29">
                  <c:v>0.96148644175616249</c:v>
                </c:pt>
                <c:pt idx="30">
                  <c:v>0.96786944377801698</c:v>
                </c:pt>
                <c:pt idx="31">
                  <c:v>0.972667795694659</c:v>
                </c:pt>
                <c:pt idx="32">
                  <c:v>0.97609163884656691</c:v>
                </c:pt>
                <c:pt idx="33">
                  <c:v>0.97829521824593624</c:v>
                </c:pt>
                <c:pt idx="34">
                  <c:v>0.97937971468466956</c:v>
                </c:pt>
                <c:pt idx="35">
                  <c:v>0.97939547625125223</c:v>
                </c:pt>
                <c:pt idx="36">
                  <c:v>0.97834323737129136</c:v>
                </c:pt>
                <c:pt idx="37">
                  <c:v>0.97617413711978296</c:v>
                </c:pt>
                <c:pt idx="38">
                  <c:v>0.97278853414344379</c:v>
                </c:pt>
                <c:pt idx="39">
                  <c:v>0.96803380056176602</c:v>
                </c:pt>
                <c:pt idx="40">
                  <c:v>0.96170149918560777</c:v>
                </c:pt>
                <c:pt idx="41">
                  <c:v>0.95352464321470631</c:v>
                </c:pt>
                <c:pt idx="42">
                  <c:v>0.94317613487390051</c:v>
                </c:pt>
                <c:pt idx="43">
                  <c:v>0.93026999115068876</c:v>
                </c:pt>
                <c:pt idx="44">
                  <c:v>0.914367563118481</c:v>
                </c:pt>
                <c:pt idx="45">
                  <c:v>0.89499153768540096</c:v>
                </c:pt>
                <c:pt idx="46">
                  <c:v>0.87165085523972818</c:v>
                </c:pt>
                <c:pt idx="47">
                  <c:v>0.84387940775601322</c:v>
                </c:pt>
                <c:pt idx="48">
                  <c:v>0.81128998844888667</c:v>
                </c:pt>
                <c:pt idx="49">
                  <c:v>0.77364194322792901</c:v>
                </c:pt>
                <c:pt idx="50">
                  <c:v>0.73091616555216388</c:v>
                </c:pt>
                <c:pt idx="51">
                  <c:v>0.6833851582019852</c:v>
                </c:pt>
                <c:pt idx="52">
                  <c:v>0.63166078460103092</c:v>
                </c:pt>
                <c:pt idx="53">
                  <c:v>0.57670104099575026</c:v>
                </c:pt>
                <c:pt idx="54">
                  <c:v>0.51976250773902344</c:v>
                </c:pt>
                <c:pt idx="55">
                  <c:v>0.46229759475007148</c:v>
                </c:pt>
                <c:pt idx="56">
                  <c:v>0.40581187186710216</c:v>
                </c:pt>
                <c:pt idx="57">
                  <c:v>0.35171003618846319</c:v>
                </c:pt>
                <c:pt idx="58">
                  <c:v>0.30116304022727253</c:v>
                </c:pt>
                <c:pt idx="59">
                  <c:v>0.25502155837466911</c:v>
                </c:pt>
                <c:pt idx="60">
                  <c:v>0.21378601554212093</c:v>
                </c:pt>
                <c:pt idx="61">
                  <c:v>0.1776277735647798</c:v>
                </c:pt>
                <c:pt idx="62">
                  <c:v>0.14644566067399356</c:v>
                </c:pt>
                <c:pt idx="63">
                  <c:v>0.11993896427131678</c:v>
                </c:pt>
                <c:pt idx="64">
                  <c:v>9.7680826459797004E-2</c:v>
                </c:pt>
                <c:pt idx="65">
                  <c:v>7.9181617509772706E-2</c:v>
                </c:pt>
                <c:pt idx="66">
                  <c:v>6.3937574913427608E-2</c:v>
                </c:pt>
                <c:pt idx="67">
                  <c:v>5.146426620402806E-2</c:v>
                </c:pt>
                <c:pt idx="68">
                  <c:v>4.1316900549016211E-2</c:v>
                </c:pt>
                <c:pt idx="69">
                  <c:v>3.3100492162957303E-2</c:v>
                </c:pt>
                <c:pt idx="70">
                  <c:v>2.6472899373208313E-2</c:v>
                </c:pt>
                <c:pt idx="71">
                  <c:v>2.1143304024230331E-2</c:v>
                </c:pt>
                <c:pt idx="72">
                  <c:v>1.6868083826162842E-2</c:v>
                </c:pt>
                <c:pt idx="73">
                  <c:v>1.3445446583604147E-2</c:v>
                </c:pt>
                <c:pt idx="74">
                  <c:v>1.0709717234418378E-2</c:v>
                </c:pt>
                <c:pt idx="75">
                  <c:v>8.5258125476332484E-3</c:v>
                </c:pt>
                <c:pt idx="76">
                  <c:v>6.784191144599664E-3</c:v>
                </c:pt>
                <c:pt idx="77">
                  <c:v>5.3964050937486069E-3</c:v>
                </c:pt>
                <c:pt idx="78">
                  <c:v>4.2912802933317172E-3</c:v>
                </c:pt>
                <c:pt idx="79">
                  <c:v>3.411696575309541E-3</c:v>
                </c:pt>
                <c:pt idx="80">
                  <c:v>2.7119100443926884E-3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F4-4BC4-9099-BDE3B7534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356040"/>
        <c:axId val="334356432"/>
      </c:scatterChart>
      <c:valAx>
        <c:axId val="33435604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4356432"/>
        <c:crosses val="autoZero"/>
        <c:crossBetween val="midCat"/>
        <c:majorUnit val="1"/>
      </c:valAx>
      <c:valAx>
        <c:axId val="334356432"/>
        <c:scaling>
          <c:orientation val="minMax"/>
          <c:max val="1.1500000000000001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334356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/>
              <a:t>20nM MMP-1(DS)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MMP-1(DS)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C99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'a1(I)'!$C$38:$Q$38</c:f>
                <c:numCache>
                  <c:formatCode>General</c:formatCode>
                  <c:ptCount val="15"/>
                  <c:pt idx="0">
                    <c:v>8.1549511074452373E-3</c:v>
                  </c:pt>
                  <c:pt idx="1">
                    <c:v>2.1481637559287208E-2</c:v>
                  </c:pt>
                  <c:pt idx="2">
                    <c:v>3.174721873974224E-2</c:v>
                  </c:pt>
                  <c:pt idx="3">
                    <c:v>4.4993944040309632E-2</c:v>
                  </c:pt>
                  <c:pt idx="4">
                    <c:v>8.1284171774127154E-2</c:v>
                  </c:pt>
                  <c:pt idx="5">
                    <c:v>8.3433072573854294E-2</c:v>
                  </c:pt>
                  <c:pt idx="6">
                    <c:v>5.07715177983755E-2</c:v>
                  </c:pt>
                  <c:pt idx="7">
                    <c:v>7.774361878419267E-2</c:v>
                  </c:pt>
                  <c:pt idx="8">
                    <c:v>9.4552015281678711E-2</c:v>
                  </c:pt>
                  <c:pt idx="9">
                    <c:v>7.9574256443799618E-2</c:v>
                  </c:pt>
                  <c:pt idx="10">
                    <c:v>8.7817698551434883E-2</c:v>
                  </c:pt>
                  <c:pt idx="11">
                    <c:v>7.1373890230902362E-2</c:v>
                  </c:pt>
                  <c:pt idx="12">
                    <c:v>7.906440319292142E-2</c:v>
                  </c:pt>
                  <c:pt idx="13">
                    <c:v>5.9003210639352953E-2</c:v>
                  </c:pt>
                  <c:pt idx="14">
                    <c:v>2.3197078366216671E-2</c:v>
                  </c:pt>
                </c:numCache>
              </c:numRef>
            </c:plus>
            <c:minus>
              <c:numRef>
                <c:f>'a1(I)'!$C$38:$Q$38</c:f>
                <c:numCache>
                  <c:formatCode>General</c:formatCode>
                  <c:ptCount val="15"/>
                  <c:pt idx="0">
                    <c:v>8.1549511074452373E-3</c:v>
                  </c:pt>
                  <c:pt idx="1">
                    <c:v>2.1481637559287208E-2</c:v>
                  </c:pt>
                  <c:pt idx="2">
                    <c:v>3.174721873974224E-2</c:v>
                  </c:pt>
                  <c:pt idx="3">
                    <c:v>4.4993944040309632E-2</c:v>
                  </c:pt>
                  <c:pt idx="4">
                    <c:v>8.1284171774127154E-2</c:v>
                  </c:pt>
                  <c:pt idx="5">
                    <c:v>8.3433072573854294E-2</c:v>
                  </c:pt>
                  <c:pt idx="6">
                    <c:v>5.07715177983755E-2</c:v>
                  </c:pt>
                  <c:pt idx="7">
                    <c:v>7.774361878419267E-2</c:v>
                  </c:pt>
                  <c:pt idx="8">
                    <c:v>9.4552015281678711E-2</c:v>
                  </c:pt>
                  <c:pt idx="9">
                    <c:v>7.9574256443799618E-2</c:v>
                  </c:pt>
                  <c:pt idx="10">
                    <c:v>8.7817698551434883E-2</c:v>
                  </c:pt>
                  <c:pt idx="11">
                    <c:v>7.1373890230902362E-2</c:v>
                  </c:pt>
                  <c:pt idx="12">
                    <c:v>7.906440319292142E-2</c:v>
                  </c:pt>
                  <c:pt idx="13">
                    <c:v>5.9003210639352953E-2</c:v>
                  </c:pt>
                  <c:pt idx="14">
                    <c:v>2.3197078366216671E-2</c:v>
                  </c:pt>
                </c:numCache>
              </c:numRef>
            </c:minus>
            <c:spPr>
              <a:ln cap="sq"/>
            </c:spPr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'a1(I)'!$C$37:$Q$37</c:f>
              <c:numCache>
                <c:formatCode>0.0%</c:formatCode>
                <c:ptCount val="15"/>
                <c:pt idx="0">
                  <c:v>4.7082632171117442E-3</c:v>
                </c:pt>
                <c:pt idx="1">
                  <c:v>0.10490836057414184</c:v>
                </c:pt>
                <c:pt idx="2">
                  <c:v>0.36555083297601298</c:v>
                </c:pt>
                <c:pt idx="3">
                  <c:v>0.71298015621466926</c:v>
                </c:pt>
                <c:pt idx="4">
                  <c:v>0.86571533650083754</c:v>
                </c:pt>
                <c:pt idx="5">
                  <c:v>0.92686946139250048</c:v>
                </c:pt>
                <c:pt idx="6">
                  <c:v>0.95512767622003847</c:v>
                </c:pt>
                <c:pt idx="7">
                  <c:v>1</c:v>
                </c:pt>
                <c:pt idx="8">
                  <c:v>0.98407094743719137</c:v>
                </c:pt>
                <c:pt idx="9">
                  <c:v>0.7844447055972873</c:v>
                </c:pt>
                <c:pt idx="10">
                  <c:v>0.58915604811487987</c:v>
                </c:pt>
                <c:pt idx="11">
                  <c:v>0.40661698053403278</c:v>
                </c:pt>
                <c:pt idx="12">
                  <c:v>0.22750833650589528</c:v>
                </c:pt>
                <c:pt idx="13">
                  <c:v>0.10569810969894203</c:v>
                </c:pt>
                <c:pt idx="14">
                  <c:v>3.7706887227603188E-2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46-41A3-94D2-8DA3B69B9410}"/>
            </c:ext>
          </c:extLst>
        </c:ser>
        <c:ser>
          <c:idx val="2"/>
          <c:order val="1"/>
          <c:tx>
            <c:v>Fit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'a1(I)'!$C$39:$Q$39</c:f>
              <c:numCache>
                <c:formatCode>0.0%</c:formatCode>
                <c:ptCount val="15"/>
                <c:pt idx="0">
                  <c:v>5.4214386276079961E-2</c:v>
                </c:pt>
                <c:pt idx="1">
                  <c:v>0.12586339105091232</c:v>
                </c:pt>
                <c:pt idx="2">
                  <c:v>0.30793501937898193</c:v>
                </c:pt>
                <c:pt idx="3">
                  <c:v>0.77936154186622153</c:v>
                </c:pt>
                <c:pt idx="4">
                  <c:v>0.93591831846298668</c:v>
                </c:pt>
                <c:pt idx="5">
                  <c:v>0.9728711309676511</c:v>
                </c:pt>
                <c:pt idx="6">
                  <c:v>0.98645432670589051</c:v>
                </c:pt>
                <c:pt idx="7">
                  <c:v>0.98291429311942313</c:v>
                </c:pt>
                <c:pt idx="8">
                  <c:v>0.93488750005003129</c:v>
                </c:pt>
                <c:pt idx="9">
                  <c:v>0.8369148075134859</c:v>
                </c:pt>
                <c:pt idx="10">
                  <c:v>0.67664489135095796</c:v>
                </c:pt>
                <c:pt idx="11">
                  <c:v>0.40935232831529961</c:v>
                </c:pt>
                <c:pt idx="12">
                  <c:v>0.1797707447277192</c:v>
                </c:pt>
                <c:pt idx="13">
                  <c:v>6.7664244242014907E-2</c:v>
                </c:pt>
                <c:pt idx="14">
                  <c:v>2.8081326419708629E-2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46-41A3-94D2-8DA3B69B9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358784"/>
        <c:axId val="334359176"/>
      </c:scatterChart>
      <c:valAx>
        <c:axId val="33435878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4359176"/>
        <c:crosses val="autoZero"/>
        <c:crossBetween val="midCat"/>
        <c:majorUnit val="1"/>
      </c:valAx>
      <c:valAx>
        <c:axId val="334359176"/>
        <c:scaling>
          <c:orientation val="minMax"/>
          <c:max val="1.1500000000000001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33435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MMP-1(S318C)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2700"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'a1(I)'!$C$29:$Q$29</c:f>
                <c:numCache>
                  <c:formatCode>General</c:formatCode>
                  <c:ptCount val="15"/>
                  <c:pt idx="0">
                    <c:v>9.8980424605627348E-3</c:v>
                  </c:pt>
                  <c:pt idx="1">
                    <c:v>2.763751162199506E-2</c:v>
                  </c:pt>
                  <c:pt idx="2">
                    <c:v>4.1862239986283606E-2</c:v>
                  </c:pt>
                  <c:pt idx="3">
                    <c:v>3.0480368382001834E-2</c:v>
                  </c:pt>
                  <c:pt idx="4">
                    <c:v>6.2866139839720087E-2</c:v>
                  </c:pt>
                  <c:pt idx="5">
                    <c:v>5.5539628891693005E-2</c:v>
                  </c:pt>
                  <c:pt idx="6">
                    <c:v>3.609108617853652E-2</c:v>
                  </c:pt>
                  <c:pt idx="7">
                    <c:v>6.8203274106682713E-2</c:v>
                  </c:pt>
                  <c:pt idx="8">
                    <c:v>7.7445421068754045E-2</c:v>
                  </c:pt>
                  <c:pt idx="9">
                    <c:v>3.8775372839367543E-2</c:v>
                  </c:pt>
                  <c:pt idx="10">
                    <c:v>4.2303197317077705E-2</c:v>
                  </c:pt>
                  <c:pt idx="11">
                    <c:v>2.0164500334245682E-2</c:v>
                  </c:pt>
                  <c:pt idx="12">
                    <c:v>4.5230579451176395E-2</c:v>
                  </c:pt>
                  <c:pt idx="13">
                    <c:v>4.2279682584733906E-2</c:v>
                  </c:pt>
                  <c:pt idx="14">
                    <c:v>1.8477166581912001E-2</c:v>
                  </c:pt>
                </c:numCache>
              </c:numRef>
            </c:plus>
            <c:minus>
              <c:numRef>
                <c:f>'a1(I)'!$C$29:$Q$29</c:f>
                <c:numCache>
                  <c:formatCode>General</c:formatCode>
                  <c:ptCount val="15"/>
                  <c:pt idx="0">
                    <c:v>9.8980424605627348E-3</c:v>
                  </c:pt>
                  <c:pt idx="1">
                    <c:v>2.763751162199506E-2</c:v>
                  </c:pt>
                  <c:pt idx="2">
                    <c:v>4.1862239986283606E-2</c:v>
                  </c:pt>
                  <c:pt idx="3">
                    <c:v>3.0480368382001834E-2</c:v>
                  </c:pt>
                  <c:pt idx="4">
                    <c:v>6.2866139839720087E-2</c:v>
                  </c:pt>
                  <c:pt idx="5">
                    <c:v>5.5539628891693005E-2</c:v>
                  </c:pt>
                  <c:pt idx="6">
                    <c:v>3.609108617853652E-2</c:v>
                  </c:pt>
                  <c:pt idx="7">
                    <c:v>6.8203274106682713E-2</c:v>
                  </c:pt>
                  <c:pt idx="8">
                    <c:v>7.7445421068754045E-2</c:v>
                  </c:pt>
                  <c:pt idx="9">
                    <c:v>3.8775372839367543E-2</c:v>
                  </c:pt>
                  <c:pt idx="10">
                    <c:v>4.2303197317077705E-2</c:v>
                  </c:pt>
                  <c:pt idx="11">
                    <c:v>2.0164500334245682E-2</c:v>
                  </c:pt>
                  <c:pt idx="12">
                    <c:v>4.5230579451176395E-2</c:v>
                  </c:pt>
                  <c:pt idx="13">
                    <c:v>4.2279682584733906E-2</c:v>
                  </c:pt>
                  <c:pt idx="14">
                    <c:v>1.8477166581912001E-2</c:v>
                  </c:pt>
                </c:numCache>
              </c:numRef>
            </c:minus>
            <c:spPr>
              <a:ln w="12700" cap="sq"/>
            </c:spPr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'a1(I)'!$C$28:$Q$28</c:f>
              <c:numCache>
                <c:formatCode>0.0%</c:formatCode>
                <c:ptCount val="15"/>
                <c:pt idx="0">
                  <c:v>1.1420518120354448E-2</c:v>
                </c:pt>
                <c:pt idx="1">
                  <c:v>9.3342903027940682E-2</c:v>
                </c:pt>
                <c:pt idx="2">
                  <c:v>0.39817550813743058</c:v>
                </c:pt>
                <c:pt idx="3">
                  <c:v>0.7156489077903998</c:v>
                </c:pt>
                <c:pt idx="4">
                  <c:v>0.88056047710469665</c:v>
                </c:pt>
                <c:pt idx="5">
                  <c:v>0.93773625886910728</c:v>
                </c:pt>
                <c:pt idx="6">
                  <c:v>1</c:v>
                </c:pt>
                <c:pt idx="7">
                  <c:v>0.98569220808130409</c:v>
                </c:pt>
                <c:pt idx="8">
                  <c:v>0.799887646889337</c:v>
                </c:pt>
                <c:pt idx="9">
                  <c:v>0.54421108729836687</c:v>
                </c:pt>
                <c:pt idx="10">
                  <c:v>0.38420352310865191</c:v>
                </c:pt>
                <c:pt idx="11">
                  <c:v>0.25284145597749019</c:v>
                </c:pt>
                <c:pt idx="12">
                  <c:v>0.14371497106222966</c:v>
                </c:pt>
                <c:pt idx="13">
                  <c:v>5.2809296747202243E-2</c:v>
                </c:pt>
                <c:pt idx="14">
                  <c:v>1.0667797099928451E-2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6B-4753-BF39-77C1D603B197}"/>
            </c:ext>
          </c:extLst>
        </c:ser>
        <c:ser>
          <c:idx val="2"/>
          <c:order val="1"/>
          <c:tx>
            <c:v>Fit</c:v>
          </c:tx>
          <c:spPr>
            <a:ln w="12700">
              <a:solidFill>
                <a:srgbClr val="0070C0"/>
              </a:solidFill>
              <a:prstDash val="lgDash"/>
            </a:ln>
          </c:spPr>
          <c:marker>
            <c:symbol val="none"/>
          </c:marker>
          <c:xVal>
            <c:numRef>
              <c:f>'a1(I)'!$BE$3:$EG$3</c:f>
              <c:numCache>
                <c:formatCode>0.0</c:formatCode>
                <c:ptCount val="81"/>
                <c:pt idx="0">
                  <c:v>4</c:v>
                </c:pt>
                <c:pt idx="1">
                  <c:v>4.0999999999999996</c:v>
                </c:pt>
                <c:pt idx="2">
                  <c:v>4.2</c:v>
                </c:pt>
                <c:pt idx="3">
                  <c:v>4.3</c:v>
                </c:pt>
                <c:pt idx="4">
                  <c:v>4.4000000000000004</c:v>
                </c:pt>
                <c:pt idx="5">
                  <c:v>4.5</c:v>
                </c:pt>
                <c:pt idx="6">
                  <c:v>4.5999999999999996</c:v>
                </c:pt>
                <c:pt idx="7">
                  <c:v>4.7</c:v>
                </c:pt>
                <c:pt idx="8">
                  <c:v>4.8</c:v>
                </c:pt>
                <c:pt idx="9">
                  <c:v>4.9000000000000004</c:v>
                </c:pt>
                <c:pt idx="10">
                  <c:v>5</c:v>
                </c:pt>
                <c:pt idx="11">
                  <c:v>5.0999999999999996</c:v>
                </c:pt>
                <c:pt idx="12">
                  <c:v>5.2</c:v>
                </c:pt>
                <c:pt idx="13">
                  <c:v>5.3</c:v>
                </c:pt>
                <c:pt idx="14">
                  <c:v>5.4</c:v>
                </c:pt>
                <c:pt idx="15">
                  <c:v>5.4999999999999902</c:v>
                </c:pt>
                <c:pt idx="16">
                  <c:v>5.5999999999999899</c:v>
                </c:pt>
                <c:pt idx="17">
                  <c:v>5.6999999999999904</c:v>
                </c:pt>
                <c:pt idx="18">
                  <c:v>5.7999999999999901</c:v>
                </c:pt>
                <c:pt idx="19">
                  <c:v>5.8999999999999897</c:v>
                </c:pt>
                <c:pt idx="20">
                  <c:v>5.9999999999999902</c:v>
                </c:pt>
                <c:pt idx="21">
                  <c:v>6.0999999999999899</c:v>
                </c:pt>
                <c:pt idx="22">
                  <c:v>6.1999999999999904</c:v>
                </c:pt>
                <c:pt idx="23">
                  <c:v>6.2999999999999901</c:v>
                </c:pt>
                <c:pt idx="24">
                  <c:v>6.3999999999999897</c:v>
                </c:pt>
                <c:pt idx="25">
                  <c:v>6.4999999999999902</c:v>
                </c:pt>
                <c:pt idx="26">
                  <c:v>6.5999999999999899</c:v>
                </c:pt>
                <c:pt idx="27">
                  <c:v>6.6999999999999904</c:v>
                </c:pt>
                <c:pt idx="28">
                  <c:v>6.7999999999999901</c:v>
                </c:pt>
                <c:pt idx="29">
                  <c:v>6.8999999999999897</c:v>
                </c:pt>
                <c:pt idx="30">
                  <c:v>6.9999999999999902</c:v>
                </c:pt>
                <c:pt idx="31">
                  <c:v>7.0999999999999899</c:v>
                </c:pt>
                <c:pt idx="32">
                  <c:v>7.1999999999999904</c:v>
                </c:pt>
                <c:pt idx="33">
                  <c:v>7.2999999999999901</c:v>
                </c:pt>
                <c:pt idx="34">
                  <c:v>7.3999999999999897</c:v>
                </c:pt>
                <c:pt idx="35">
                  <c:v>7.4999999999999902</c:v>
                </c:pt>
                <c:pt idx="36">
                  <c:v>7.5999999999999899</c:v>
                </c:pt>
                <c:pt idx="37">
                  <c:v>7.6999999999999904</c:v>
                </c:pt>
                <c:pt idx="38">
                  <c:v>7.7999999999999901</c:v>
                </c:pt>
                <c:pt idx="39">
                  <c:v>7.8999999999999897</c:v>
                </c:pt>
                <c:pt idx="40">
                  <c:v>7.9999999999999902</c:v>
                </c:pt>
                <c:pt idx="41">
                  <c:v>8.0999999999999908</c:v>
                </c:pt>
                <c:pt idx="42">
                  <c:v>8.1999999999999904</c:v>
                </c:pt>
                <c:pt idx="43">
                  <c:v>8.2999999999999794</c:v>
                </c:pt>
                <c:pt idx="44">
                  <c:v>8.3999999999999808</c:v>
                </c:pt>
                <c:pt idx="45">
                  <c:v>8.4999999999999805</c:v>
                </c:pt>
                <c:pt idx="46">
                  <c:v>8.5999999999999801</c:v>
                </c:pt>
                <c:pt idx="47">
                  <c:v>8.6999999999999797</c:v>
                </c:pt>
                <c:pt idx="48">
                  <c:v>8.7999999999999794</c:v>
                </c:pt>
                <c:pt idx="49">
                  <c:v>8.8999999999999808</c:v>
                </c:pt>
                <c:pt idx="50">
                  <c:v>8.9999999999999805</c:v>
                </c:pt>
                <c:pt idx="51">
                  <c:v>9.0999999999999801</c:v>
                </c:pt>
                <c:pt idx="52">
                  <c:v>9.1999999999999797</c:v>
                </c:pt>
                <c:pt idx="53">
                  <c:v>9.2999999999999794</c:v>
                </c:pt>
                <c:pt idx="54">
                  <c:v>9.3999999999999808</c:v>
                </c:pt>
                <c:pt idx="55">
                  <c:v>9.4999999999999805</c:v>
                </c:pt>
                <c:pt idx="56">
                  <c:v>9.5999999999999801</c:v>
                </c:pt>
                <c:pt idx="57">
                  <c:v>9.6999999999999797</c:v>
                </c:pt>
                <c:pt idx="58">
                  <c:v>9.7999999999999794</c:v>
                </c:pt>
                <c:pt idx="59">
                  <c:v>9.8999999999999808</c:v>
                </c:pt>
                <c:pt idx="60">
                  <c:v>9.9999999999999805</c:v>
                </c:pt>
                <c:pt idx="61">
                  <c:v>10.1</c:v>
                </c:pt>
                <c:pt idx="62">
                  <c:v>10.199999999999999</c:v>
                </c:pt>
                <c:pt idx="63">
                  <c:v>10.3</c:v>
                </c:pt>
                <c:pt idx="64">
                  <c:v>10.4</c:v>
                </c:pt>
                <c:pt idx="65">
                  <c:v>10.5</c:v>
                </c:pt>
                <c:pt idx="66">
                  <c:v>10.6</c:v>
                </c:pt>
                <c:pt idx="67">
                  <c:v>10.7</c:v>
                </c:pt>
                <c:pt idx="68">
                  <c:v>10.8</c:v>
                </c:pt>
                <c:pt idx="69">
                  <c:v>10.9</c:v>
                </c:pt>
                <c:pt idx="70">
                  <c:v>11</c:v>
                </c:pt>
                <c:pt idx="71">
                  <c:v>11.1</c:v>
                </c:pt>
                <c:pt idx="72">
                  <c:v>11.2</c:v>
                </c:pt>
                <c:pt idx="73">
                  <c:v>11.3</c:v>
                </c:pt>
                <c:pt idx="74">
                  <c:v>11.4</c:v>
                </c:pt>
                <c:pt idx="75">
                  <c:v>11.5</c:v>
                </c:pt>
                <c:pt idx="76">
                  <c:v>11.6</c:v>
                </c:pt>
                <c:pt idx="77">
                  <c:v>11.7</c:v>
                </c:pt>
                <c:pt idx="78">
                  <c:v>11.8</c:v>
                </c:pt>
                <c:pt idx="79">
                  <c:v>11.9</c:v>
                </c:pt>
                <c:pt idx="80">
                  <c:v>12</c:v>
                </c:pt>
              </c:numCache>
            </c:numRef>
          </c:xVal>
          <c:yVal>
            <c:numRef>
              <c:f>'a1(I)'!$BE$30:$EG$30</c:f>
              <c:numCache>
                <c:formatCode>0.000%</c:formatCode>
                <c:ptCount val="81"/>
                <c:pt idx="0">
                  <c:v>3.2882063829759126E-2</c:v>
                </c:pt>
                <c:pt idx="1">
                  <c:v>4.1046554601372333E-2</c:v>
                </c:pt>
                <c:pt idx="2">
                  <c:v>5.113106543356262E-2</c:v>
                </c:pt>
                <c:pt idx="3">
                  <c:v>6.3529026386464515E-2</c:v>
                </c:pt>
                <c:pt idx="4">
                  <c:v>7.8683851609132771E-2</c:v>
                </c:pt>
                <c:pt idx="5">
                  <c:v>9.7079029882237586E-2</c:v>
                </c:pt>
                <c:pt idx="6">
                  <c:v>0.11921816000336811</c:v>
                </c:pt>
                <c:pt idx="7">
                  <c:v>0.14559191620436673</c:v>
                </c:pt>
                <c:pt idx="8">
                  <c:v>0.17662987050722348</c:v>
                </c:pt>
                <c:pt idx="9">
                  <c:v>0.2126375149099699</c:v>
                </c:pt>
                <c:pt idx="10">
                  <c:v>0.25372304374299998</c:v>
                </c:pt>
                <c:pt idx="11">
                  <c:v>0.2997241414641641</c:v>
                </c:pt>
                <c:pt idx="12">
                  <c:v>0.35015069365320595</c:v>
                </c:pt>
                <c:pt idx="13">
                  <c:v>0.40416228847215374</c:v>
                </c:pt>
                <c:pt idx="14">
                  <c:v>0.46059652040351079</c:v>
                </c:pt>
                <c:pt idx="15">
                  <c:v>0.51805390644366689</c:v>
                </c:pt>
                <c:pt idx="16">
                  <c:v>0.57502968161530432</c:v>
                </c:pt>
                <c:pt idx="17">
                  <c:v>0.63006766179438611</c:v>
                </c:pt>
                <c:pt idx="18">
                  <c:v>0.681903710291617</c:v>
                </c:pt>
                <c:pt idx="19">
                  <c:v>0.72956998001480589</c:v>
                </c:pt>
                <c:pt idx="20">
                  <c:v>0.77244416745714195</c:v>
                </c:pt>
                <c:pt idx="21">
                  <c:v>0.81024420885705351</c:v>
                </c:pt>
                <c:pt idx="22">
                  <c:v>0.84298148620048596</c:v>
                </c:pt>
                <c:pt idx="23">
                  <c:v>0.87089115922470384</c:v>
                </c:pt>
                <c:pt idx="24">
                  <c:v>0.89435711032749121</c:v>
                </c:pt>
                <c:pt idx="25">
                  <c:v>0.91384395519355233</c:v>
                </c:pt>
                <c:pt idx="26">
                  <c:v>0.92984264376750836</c:v>
                </c:pt>
                <c:pt idx="27">
                  <c:v>0.94283131929659536</c:v>
                </c:pt>
                <c:pt idx="28">
                  <c:v>0.95325002863999841</c:v>
                </c:pt>
                <c:pt idx="29">
                  <c:v>0.96148644175616249</c:v>
                </c:pt>
                <c:pt idx="30">
                  <c:v>0.96786944377801698</c:v>
                </c:pt>
                <c:pt idx="31">
                  <c:v>0.972667795694659</c:v>
                </c:pt>
                <c:pt idx="32">
                  <c:v>0.97609163884656691</c:v>
                </c:pt>
                <c:pt idx="33">
                  <c:v>0.97829521824593624</c:v>
                </c:pt>
                <c:pt idx="34">
                  <c:v>0.97937971468466956</c:v>
                </c:pt>
                <c:pt idx="35">
                  <c:v>0.97939547625125223</c:v>
                </c:pt>
                <c:pt idx="36">
                  <c:v>0.97834323737129136</c:v>
                </c:pt>
                <c:pt idx="37">
                  <c:v>0.97617413711978296</c:v>
                </c:pt>
                <c:pt idx="38">
                  <c:v>0.97278853414344379</c:v>
                </c:pt>
                <c:pt idx="39">
                  <c:v>0.96803380056176602</c:v>
                </c:pt>
                <c:pt idx="40">
                  <c:v>0.96170149918560777</c:v>
                </c:pt>
                <c:pt idx="41">
                  <c:v>0.95352464321470631</c:v>
                </c:pt>
                <c:pt idx="42">
                  <c:v>0.94317613487390051</c:v>
                </c:pt>
                <c:pt idx="43">
                  <c:v>0.93026999115068876</c:v>
                </c:pt>
                <c:pt idx="44">
                  <c:v>0.914367563118481</c:v>
                </c:pt>
                <c:pt idx="45">
                  <c:v>0.89499153768540096</c:v>
                </c:pt>
                <c:pt idx="46">
                  <c:v>0.87165085523972818</c:v>
                </c:pt>
                <c:pt idx="47">
                  <c:v>0.84387940775601322</c:v>
                </c:pt>
                <c:pt idx="48">
                  <c:v>0.81128998844888667</c:v>
                </c:pt>
                <c:pt idx="49">
                  <c:v>0.77364194322792901</c:v>
                </c:pt>
                <c:pt idx="50">
                  <c:v>0.73091616555216388</c:v>
                </c:pt>
                <c:pt idx="51">
                  <c:v>0.6833851582019852</c:v>
                </c:pt>
                <c:pt idx="52">
                  <c:v>0.63166078460103092</c:v>
                </c:pt>
                <c:pt idx="53">
                  <c:v>0.57670104099575026</c:v>
                </c:pt>
                <c:pt idx="54">
                  <c:v>0.51976250773902344</c:v>
                </c:pt>
                <c:pt idx="55">
                  <c:v>0.46229759475007148</c:v>
                </c:pt>
                <c:pt idx="56">
                  <c:v>0.40581187186710216</c:v>
                </c:pt>
                <c:pt idx="57">
                  <c:v>0.35171003618846319</c:v>
                </c:pt>
                <c:pt idx="58">
                  <c:v>0.30116304022727253</c:v>
                </c:pt>
                <c:pt idx="59">
                  <c:v>0.25502155837466911</c:v>
                </c:pt>
                <c:pt idx="60">
                  <c:v>0.21378601554212093</c:v>
                </c:pt>
                <c:pt idx="61">
                  <c:v>0.1776277735647798</c:v>
                </c:pt>
                <c:pt idx="62">
                  <c:v>0.14644566067399356</c:v>
                </c:pt>
                <c:pt idx="63">
                  <c:v>0.11993896427131678</c:v>
                </c:pt>
                <c:pt idx="64">
                  <c:v>9.7680826459797004E-2</c:v>
                </c:pt>
                <c:pt idx="65">
                  <c:v>7.9181617509772706E-2</c:v>
                </c:pt>
                <c:pt idx="66">
                  <c:v>6.3937574913427608E-2</c:v>
                </c:pt>
                <c:pt idx="67">
                  <c:v>5.146426620402806E-2</c:v>
                </c:pt>
                <c:pt idx="68">
                  <c:v>4.1316900549016211E-2</c:v>
                </c:pt>
                <c:pt idx="69">
                  <c:v>3.3100492162957303E-2</c:v>
                </c:pt>
                <c:pt idx="70">
                  <c:v>2.6472899373208313E-2</c:v>
                </c:pt>
                <c:pt idx="71">
                  <c:v>2.1143304024230331E-2</c:v>
                </c:pt>
                <c:pt idx="72">
                  <c:v>1.6868083826162842E-2</c:v>
                </c:pt>
                <c:pt idx="73">
                  <c:v>1.3445446583604147E-2</c:v>
                </c:pt>
                <c:pt idx="74">
                  <c:v>1.0709717234418378E-2</c:v>
                </c:pt>
                <c:pt idx="75">
                  <c:v>8.5258125476332484E-3</c:v>
                </c:pt>
                <c:pt idx="76">
                  <c:v>6.784191144599664E-3</c:v>
                </c:pt>
                <c:pt idx="77">
                  <c:v>5.3964050937486069E-3</c:v>
                </c:pt>
                <c:pt idx="78">
                  <c:v>4.2912802933317172E-3</c:v>
                </c:pt>
                <c:pt idx="79">
                  <c:v>3.411696575309541E-3</c:v>
                </c:pt>
                <c:pt idx="80">
                  <c:v>2.7119100443926884E-3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6B-4753-BF39-77C1D603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358392"/>
        <c:axId val="334358000"/>
      </c:scatterChart>
      <c:valAx>
        <c:axId val="33435839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0"/>
            </a:pPr>
            <a:endParaRPr lang="en-US"/>
          </a:p>
        </c:txPr>
        <c:crossAx val="334358000"/>
        <c:crosses val="autoZero"/>
        <c:crossBetween val="midCat"/>
        <c:majorUnit val="2"/>
      </c:valAx>
      <c:valAx>
        <c:axId val="334358000"/>
        <c:scaling>
          <c:orientation val="minMax"/>
          <c:max val="1.1500000000000001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334358392"/>
        <c:crosses val="autoZero"/>
        <c:crossBetween val="midCat"/>
      </c:valAx>
      <c:spPr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  <a:prstDash val="lgDash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74649019078603"/>
          <c:y val="5.0400916380297825E-2"/>
          <c:w val="0.80649472281536472"/>
          <c:h val="0.74053485582343448"/>
        </c:manualLayout>
      </c:layout>
      <c:scatterChart>
        <c:scatterStyle val="lineMarker"/>
        <c:varyColors val="0"/>
        <c:ser>
          <c:idx val="0"/>
          <c:order val="0"/>
          <c:tx>
            <c:v>alkaline</c:v>
          </c:tx>
          <c:spPr>
            <a:ln w="28575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1270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square"/>
              <c:size val="5"/>
              <c:spPr>
                <a:solidFill>
                  <a:schemeClr val="bg1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2D5-468B-B3A1-E50518E8616F}"/>
              </c:ext>
            </c:extLst>
          </c:dPt>
          <c:dPt>
            <c:idx val="1"/>
            <c:marker>
              <c:symbol val="square"/>
              <c:size val="5"/>
              <c:spPr>
                <a:solidFill>
                  <a:srgbClr val="00FF00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2D5-468B-B3A1-E50518E8616F}"/>
              </c:ext>
            </c:extLst>
          </c:dPt>
          <c:dPt>
            <c:idx val="2"/>
            <c:marker>
              <c:symbol val="square"/>
              <c:size val="5"/>
              <c:spPr>
                <a:solidFill>
                  <a:srgbClr val="0070C0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2D5-468B-B3A1-E50518E8616F}"/>
              </c:ext>
            </c:extLst>
          </c:dPt>
          <c:dPt>
            <c:idx val="3"/>
            <c:marker>
              <c:symbol val="square"/>
              <c:size val="5"/>
              <c:spPr>
                <a:solidFill>
                  <a:srgbClr val="CC9900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2D5-468B-B3A1-E50518E8616F}"/>
              </c:ext>
            </c:extLst>
          </c:dPt>
          <c:errBars>
            <c:errDir val="x"/>
            <c:errBarType val="both"/>
            <c:errValType val="cust"/>
            <c:noEndCap val="0"/>
            <c:plus>
              <c:numRef>
                <c:f>'a1(I)'!$I$61:$I$64</c:f>
                <c:numCache>
                  <c:formatCode>General</c:formatCode>
                  <c:ptCount val="4"/>
                  <c:pt idx="0">
                    <c:v>0.10248224135441661</c:v>
                  </c:pt>
                  <c:pt idx="1">
                    <c:v>8.7660064460419143E-2</c:v>
                  </c:pt>
                  <c:pt idx="2">
                    <c:v>9.1865062504742148E-2</c:v>
                  </c:pt>
                  <c:pt idx="3">
                    <c:v>0.11113154520541575</c:v>
                  </c:pt>
                </c:numCache>
              </c:numRef>
            </c:plus>
            <c:minus>
              <c:numRef>
                <c:f>'a1(I)'!$I$61:$I$64</c:f>
                <c:numCache>
                  <c:formatCode>General</c:formatCode>
                  <c:ptCount val="4"/>
                  <c:pt idx="0">
                    <c:v>0.10248224135441661</c:v>
                  </c:pt>
                  <c:pt idx="1">
                    <c:v>8.7660064460419143E-2</c:v>
                  </c:pt>
                  <c:pt idx="2">
                    <c:v>9.1865062504742148E-2</c:v>
                  </c:pt>
                  <c:pt idx="3">
                    <c:v>0.11113154520541575</c:v>
                  </c:pt>
                </c:numCache>
              </c:numRef>
            </c:minus>
            <c:spPr>
              <a:noFill/>
              <a:ln w="12700" cap="sq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'a1(I)'!$H$61:$H$64</c:f>
              <c:numCache>
                <c:formatCode>0.00</c:formatCode>
                <c:ptCount val="4"/>
                <c:pt idx="0">
                  <c:v>9.8508892264656964</c:v>
                </c:pt>
                <c:pt idx="1">
                  <c:v>9.596478293375327</c:v>
                </c:pt>
                <c:pt idx="2">
                  <c:v>9.4344547751785885</c:v>
                </c:pt>
                <c:pt idx="3">
                  <c:v>9.9207881833103357</c:v>
                </c:pt>
              </c:numCache>
            </c:numRef>
          </c:xVal>
          <c:yVal>
            <c:numRef>
              <c:f>'a1(I)'!$E$61:$E$64</c:f>
              <c:numCache>
                <c:formatCode>General</c:formatCode>
                <c:ptCount val="4"/>
                <c:pt idx="0">
                  <c:v>3.5</c:v>
                </c:pt>
                <c:pt idx="1">
                  <c:v>2.5</c:v>
                </c:pt>
                <c:pt idx="2">
                  <c:v>1.5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D5-468B-B3A1-E50518E8616F}"/>
            </c:ext>
          </c:extLst>
        </c:ser>
        <c:ser>
          <c:idx val="1"/>
          <c:order val="1"/>
          <c:tx>
            <c:v>acidic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diamond"/>
              <c:size val="6"/>
              <c:spPr>
                <a:solidFill>
                  <a:schemeClr val="bg1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B2D5-468B-B3A1-E50518E8616F}"/>
              </c:ext>
            </c:extLst>
          </c:dPt>
          <c:dPt>
            <c:idx val="1"/>
            <c:marker>
              <c:symbol val="diamond"/>
              <c:size val="6"/>
              <c:spPr>
                <a:solidFill>
                  <a:srgbClr val="00FF00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B2D5-468B-B3A1-E50518E8616F}"/>
              </c:ext>
            </c:extLst>
          </c:dPt>
          <c:dPt>
            <c:idx val="2"/>
            <c:marker>
              <c:symbol val="diamond"/>
              <c:size val="6"/>
              <c:spPr>
                <a:solidFill>
                  <a:srgbClr val="0070C0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B2D5-468B-B3A1-E50518E8616F}"/>
              </c:ext>
            </c:extLst>
          </c:dPt>
          <c:dPt>
            <c:idx val="3"/>
            <c:marker>
              <c:symbol val="diamond"/>
              <c:size val="6"/>
              <c:spPr>
                <a:solidFill>
                  <a:srgbClr val="CC9900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B2D5-468B-B3A1-E50518E8616F}"/>
              </c:ext>
            </c:extLst>
          </c:dPt>
          <c:dLbls>
            <c:dLbl>
              <c:idx val="0"/>
              <c:layout>
                <c:manualLayout>
                  <c:x val="-0.10654321553890962"/>
                  <c:y val="-1.000908969052725E-17"/>
                </c:manualLayout>
              </c:layout>
              <c:tx>
                <c:rich>
                  <a:bodyPr/>
                  <a:lstStyle/>
                  <a:p>
                    <a:fld id="{E1179D77-29E9-4485-A8E0-984AFCA1E41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D5-468B-B3A1-E50518E8616F}"/>
                </c:ext>
              </c:extLst>
            </c:dLbl>
            <c:dLbl>
              <c:idx val="1"/>
              <c:layout>
                <c:manualLayout>
                  <c:x val="-0.13842369265524268"/>
                  <c:y val="0"/>
                </c:manualLayout>
              </c:layout>
              <c:tx>
                <c:rich>
                  <a:bodyPr/>
                  <a:lstStyle/>
                  <a:p>
                    <a:fld id="{D80CDD85-0C45-4CE4-91AA-21C4519BFC0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2D5-468B-B3A1-E50518E8616F}"/>
                </c:ext>
              </c:extLst>
            </c:dLbl>
            <c:dLbl>
              <c:idx val="2"/>
              <c:layout>
                <c:manualLayout>
                  <c:x val="-0.15305537878960951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r"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929DC26-7AB7-4340-9ED0-2AC60B5C86F8}" type="CELLRANGE">
                      <a:rPr lang="en-US"/>
                      <a:pPr algn="r">
                        <a:defRPr sz="1000" b="1">
                          <a:solidFill>
                            <a:schemeClr val="tx1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r">
                    <a:defRPr sz="1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B2D5-468B-B3A1-E50518E8616F}"/>
                </c:ext>
              </c:extLst>
            </c:dLbl>
            <c:dLbl>
              <c:idx val="3"/>
              <c:layout>
                <c:manualLayout>
                  <c:x val="-0.12635872886179289"/>
                  <c:y val="-8.7604936227745241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r"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DS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r">
                    <a:defRPr sz="1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D5-468B-B3A1-E50518E86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errBars>
            <c:errDir val="x"/>
            <c:errBarType val="both"/>
            <c:errValType val="cust"/>
            <c:noEndCap val="0"/>
            <c:plus>
              <c:numRef>
                <c:f>'a1(I)'!$G$61:$G$64</c:f>
                <c:numCache>
                  <c:formatCode>General</c:formatCode>
                  <c:ptCount val="4"/>
                  <c:pt idx="0">
                    <c:v>5.1114173516940503E-2</c:v>
                  </c:pt>
                  <c:pt idx="1">
                    <c:v>3.1035564114145476E-2</c:v>
                  </c:pt>
                  <c:pt idx="2">
                    <c:v>3.988694897516417E-2</c:v>
                  </c:pt>
                  <c:pt idx="3">
                    <c:v>5.3651446553012475E-2</c:v>
                  </c:pt>
                </c:numCache>
              </c:numRef>
            </c:plus>
            <c:minus>
              <c:numRef>
                <c:f>'a1(I)'!$G$61:$G$64</c:f>
                <c:numCache>
                  <c:formatCode>General</c:formatCode>
                  <c:ptCount val="4"/>
                  <c:pt idx="0">
                    <c:v>5.1114173516940503E-2</c:v>
                  </c:pt>
                  <c:pt idx="1">
                    <c:v>3.1035564114145476E-2</c:v>
                  </c:pt>
                  <c:pt idx="2">
                    <c:v>3.988694897516417E-2</c:v>
                  </c:pt>
                  <c:pt idx="3">
                    <c:v>5.3651446553012475E-2</c:v>
                  </c:pt>
                </c:numCache>
              </c:numRef>
            </c:minus>
            <c:spPr>
              <a:noFill/>
              <a:ln w="12700" cap="sq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'a1(I)'!$F$61:$F$64</c:f>
              <c:numCache>
                <c:formatCode>0.00</c:formatCode>
                <c:ptCount val="4"/>
                <c:pt idx="0">
                  <c:v>5.3178380971791919</c:v>
                </c:pt>
                <c:pt idx="1">
                  <c:v>5.3713221300096068</c:v>
                </c:pt>
                <c:pt idx="2">
                  <c:v>5.4685187183561794</c:v>
                </c:pt>
                <c:pt idx="3">
                  <c:v>5.5016771551470685</c:v>
                </c:pt>
              </c:numCache>
            </c:numRef>
          </c:xVal>
          <c:yVal>
            <c:numRef>
              <c:f>'a1(I)'!$E$61:$E$64</c:f>
              <c:numCache>
                <c:formatCode>General</c:formatCode>
                <c:ptCount val="4"/>
                <c:pt idx="0">
                  <c:v>3.5</c:v>
                </c:pt>
                <c:pt idx="1">
                  <c:v>2.5</c:v>
                </c:pt>
                <c:pt idx="2">
                  <c:v>1.5</c:v>
                </c:pt>
                <c:pt idx="3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'a1(I)'!$D$61:$D$64</c15:f>
                <c15:dlblRangeCache>
                  <c:ptCount val="4"/>
                  <c:pt idx="0">
                    <c:v>WT</c:v>
                  </c:pt>
                  <c:pt idx="1">
                    <c:v>S243C</c:v>
                  </c:pt>
                  <c:pt idx="2">
                    <c:v>S318C</c:v>
                  </c:pt>
                  <c:pt idx="3">
                    <c:v>DS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2D5-468B-B3A1-E50518E8616F}"/>
            </c:ext>
          </c:extLst>
        </c:ser>
        <c:ser>
          <c:idx val="12"/>
          <c:order val="2"/>
          <c:tx>
            <c:v>assay pH</c:v>
          </c:tx>
          <c:spPr>
            <a:ln w="127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'a1(I)'!$F$66:$F$67</c:f>
              <c:numCache>
                <c:formatCode>General</c:formatCode>
                <c:ptCount val="2"/>
                <c:pt idx="0">
                  <c:v>7.4</c:v>
                </c:pt>
                <c:pt idx="1">
                  <c:v>7.4</c:v>
                </c:pt>
              </c:numCache>
            </c:numRef>
          </c:xVal>
          <c:yVal>
            <c:numRef>
              <c:f>'a1(I)'!$E$66:$E$67</c:f>
              <c:numCache>
                <c:formatCode>General</c:formatCode>
                <c:ptCount val="2"/>
                <c:pt idx="0">
                  <c:v>0</c:v>
                </c:pt>
                <c:pt idx="1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2D5-468B-B3A1-E50518E8616F}"/>
            </c:ext>
          </c:extLst>
        </c:ser>
        <c:ser>
          <c:idx val="2"/>
          <c:order val="3"/>
          <c:tx>
            <c:v>optimum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92D050"/>
              </a:solidFill>
              <a:ln w="1270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chemeClr val="bg1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B2D5-468B-B3A1-E50518E8616F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00FF00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B2D5-468B-B3A1-E50518E8616F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0070C0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B2D5-468B-B3A1-E50518E8616F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CC9900"/>
                </a:solidFill>
                <a:ln w="127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B2D5-468B-B3A1-E50518E8616F}"/>
              </c:ext>
            </c:extLst>
          </c:dPt>
          <c:errBars>
            <c:errDir val="x"/>
            <c:errBarType val="both"/>
            <c:errValType val="cust"/>
            <c:noEndCap val="0"/>
            <c:plus>
              <c:numRef>
                <c:f>'a1(I)'!$K$61:$K$64</c:f>
                <c:numCache>
                  <c:formatCode>General</c:formatCode>
                  <c:ptCount val="4"/>
                  <c:pt idx="0">
                    <c:v>0.11452191286974209</c:v>
                  </c:pt>
                  <c:pt idx="1">
                    <c:v>9.2991898255106467E-2</c:v>
                  </c:pt>
                  <c:pt idx="2">
                    <c:v>0.10015067851765924</c:v>
                  </c:pt>
                  <c:pt idx="3">
                    <c:v>0.1234046111657669</c:v>
                  </c:pt>
                </c:numCache>
              </c:numRef>
            </c:plus>
            <c:minus>
              <c:numRef>
                <c:f>'a1(I)'!$K$61:$K$64</c:f>
                <c:numCache>
                  <c:formatCode>General</c:formatCode>
                  <c:ptCount val="4"/>
                  <c:pt idx="0">
                    <c:v>0.11452191286974209</c:v>
                  </c:pt>
                  <c:pt idx="1">
                    <c:v>9.2991898255106467E-2</c:v>
                  </c:pt>
                  <c:pt idx="2">
                    <c:v>0.10015067851765924</c:v>
                  </c:pt>
                  <c:pt idx="3">
                    <c:v>0.1234046111657669</c:v>
                  </c:pt>
                </c:numCache>
              </c:numRef>
            </c:minus>
            <c:spPr>
              <a:noFill/>
              <a:ln w="12700" cap="sq" cmpd="sng" algn="ctr">
                <a:solidFill>
                  <a:schemeClr val="tx1"/>
                </a:solidFill>
                <a:round/>
                <a:headEnd type="none" w="lg" len="lg"/>
                <a:tailEnd w="lg" len="lg"/>
              </a:ln>
              <a:effectLst/>
            </c:spPr>
          </c:errBars>
          <c:xVal>
            <c:numRef>
              <c:f>'a1(I)'!$J$61:$J$64</c:f>
              <c:numCache>
                <c:formatCode>0.00</c:formatCode>
                <c:ptCount val="4"/>
                <c:pt idx="0">
                  <c:v>7.5843636618224437</c:v>
                </c:pt>
                <c:pt idx="1">
                  <c:v>7.4839002116924664</c:v>
                </c:pt>
                <c:pt idx="2">
                  <c:v>7.451486746767384</c:v>
                </c:pt>
                <c:pt idx="3">
                  <c:v>7.7112326692287017</c:v>
                </c:pt>
              </c:numCache>
            </c:numRef>
          </c:xVal>
          <c:yVal>
            <c:numRef>
              <c:f>'a1(I)'!$E$61:$E$64</c:f>
              <c:numCache>
                <c:formatCode>General</c:formatCode>
                <c:ptCount val="4"/>
                <c:pt idx="0">
                  <c:v>3.5</c:v>
                </c:pt>
                <c:pt idx="1">
                  <c:v>2.5</c:v>
                </c:pt>
                <c:pt idx="2">
                  <c:v>1.5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2D5-468B-B3A1-E50518E86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357216"/>
        <c:axId val="334467608"/>
      </c:scatterChart>
      <c:valAx>
        <c:axId val="334357216"/>
        <c:scaling>
          <c:orientation val="minMax"/>
          <c:max val="10.5"/>
          <c:min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ysClr val="windowText" lastClr="000000"/>
                    </a:solidFill>
                  </a:rPr>
                  <a:t>pH</a:t>
                </a:r>
              </a:p>
            </c:rich>
          </c:tx>
          <c:layout>
            <c:manualLayout>
              <c:xMode val="edge"/>
              <c:yMode val="edge"/>
              <c:x val="0.48982400877326626"/>
              <c:y val="0.841643351282120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67608"/>
        <c:crosses val="autoZero"/>
        <c:crossBetween val="midCat"/>
      </c:valAx>
      <c:valAx>
        <c:axId val="334467608"/>
        <c:scaling>
          <c:orientation val="minMax"/>
          <c:max val="4"/>
        </c:scaling>
        <c:delete val="1"/>
        <c:axPos val="l"/>
        <c:numFmt formatCode="General" sourceLinked="1"/>
        <c:majorTickMark val="out"/>
        <c:minorTickMark val="none"/>
        <c:tickLblPos val="nextTo"/>
        <c:crossAx val="334357216"/>
        <c:crossesAt val="4.5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MMP-1(DS)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C9900"/>
              </a:solidFill>
              <a:ln w="12700"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'a1(I)'!$C$38:$Q$38</c:f>
                <c:numCache>
                  <c:formatCode>General</c:formatCode>
                  <c:ptCount val="15"/>
                  <c:pt idx="0">
                    <c:v>8.1549511074452373E-3</c:v>
                  </c:pt>
                  <c:pt idx="1">
                    <c:v>2.1481637559287208E-2</c:v>
                  </c:pt>
                  <c:pt idx="2">
                    <c:v>3.174721873974224E-2</c:v>
                  </c:pt>
                  <c:pt idx="3">
                    <c:v>4.4993944040309632E-2</c:v>
                  </c:pt>
                  <c:pt idx="4">
                    <c:v>8.1284171774127154E-2</c:v>
                  </c:pt>
                  <c:pt idx="5">
                    <c:v>8.3433072573854294E-2</c:v>
                  </c:pt>
                  <c:pt idx="6">
                    <c:v>5.07715177983755E-2</c:v>
                  </c:pt>
                  <c:pt idx="7">
                    <c:v>7.774361878419267E-2</c:v>
                  </c:pt>
                  <c:pt idx="8">
                    <c:v>9.4552015281678711E-2</c:v>
                  </c:pt>
                  <c:pt idx="9">
                    <c:v>7.9574256443799618E-2</c:v>
                  </c:pt>
                  <c:pt idx="10">
                    <c:v>8.7817698551434883E-2</c:v>
                  </c:pt>
                  <c:pt idx="11">
                    <c:v>7.1373890230902362E-2</c:v>
                  </c:pt>
                  <c:pt idx="12">
                    <c:v>7.906440319292142E-2</c:v>
                  </c:pt>
                  <c:pt idx="13">
                    <c:v>5.9003210639352953E-2</c:v>
                  </c:pt>
                  <c:pt idx="14">
                    <c:v>2.3197078366216671E-2</c:v>
                  </c:pt>
                </c:numCache>
              </c:numRef>
            </c:plus>
            <c:minus>
              <c:numRef>
                <c:f>'a1(I)'!$C$38:$Q$38</c:f>
                <c:numCache>
                  <c:formatCode>General</c:formatCode>
                  <c:ptCount val="15"/>
                  <c:pt idx="0">
                    <c:v>8.1549511074452373E-3</c:v>
                  </c:pt>
                  <c:pt idx="1">
                    <c:v>2.1481637559287208E-2</c:v>
                  </c:pt>
                  <c:pt idx="2">
                    <c:v>3.174721873974224E-2</c:v>
                  </c:pt>
                  <c:pt idx="3">
                    <c:v>4.4993944040309632E-2</c:v>
                  </c:pt>
                  <c:pt idx="4">
                    <c:v>8.1284171774127154E-2</c:v>
                  </c:pt>
                  <c:pt idx="5">
                    <c:v>8.3433072573854294E-2</c:v>
                  </c:pt>
                  <c:pt idx="6">
                    <c:v>5.07715177983755E-2</c:v>
                  </c:pt>
                  <c:pt idx="7">
                    <c:v>7.774361878419267E-2</c:v>
                  </c:pt>
                  <c:pt idx="8">
                    <c:v>9.4552015281678711E-2</c:v>
                  </c:pt>
                  <c:pt idx="9">
                    <c:v>7.9574256443799618E-2</c:v>
                  </c:pt>
                  <c:pt idx="10">
                    <c:v>8.7817698551434883E-2</c:v>
                  </c:pt>
                  <c:pt idx="11">
                    <c:v>7.1373890230902362E-2</c:v>
                  </c:pt>
                  <c:pt idx="12">
                    <c:v>7.906440319292142E-2</c:v>
                  </c:pt>
                  <c:pt idx="13">
                    <c:v>5.9003210639352953E-2</c:v>
                  </c:pt>
                  <c:pt idx="14">
                    <c:v>2.3197078366216671E-2</c:v>
                  </c:pt>
                </c:numCache>
              </c:numRef>
            </c:minus>
            <c:spPr>
              <a:ln w="12700" cap="sq"/>
            </c:spPr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'a1(I)'!$C$37:$Q$37</c:f>
              <c:numCache>
                <c:formatCode>0.0%</c:formatCode>
                <c:ptCount val="15"/>
                <c:pt idx="0">
                  <c:v>4.7082632171117442E-3</c:v>
                </c:pt>
                <c:pt idx="1">
                  <c:v>0.10490836057414184</c:v>
                </c:pt>
                <c:pt idx="2">
                  <c:v>0.36555083297601298</c:v>
                </c:pt>
                <c:pt idx="3">
                  <c:v>0.71298015621466926</c:v>
                </c:pt>
                <c:pt idx="4">
                  <c:v>0.86571533650083754</c:v>
                </c:pt>
                <c:pt idx="5">
                  <c:v>0.92686946139250048</c:v>
                </c:pt>
                <c:pt idx="6">
                  <c:v>0.95512767622003847</c:v>
                </c:pt>
                <c:pt idx="7">
                  <c:v>1</c:v>
                </c:pt>
                <c:pt idx="8">
                  <c:v>0.98407094743719137</c:v>
                </c:pt>
                <c:pt idx="9">
                  <c:v>0.7844447055972873</c:v>
                </c:pt>
                <c:pt idx="10">
                  <c:v>0.58915604811487987</c:v>
                </c:pt>
                <c:pt idx="11">
                  <c:v>0.40661698053403278</c:v>
                </c:pt>
                <c:pt idx="12">
                  <c:v>0.22750833650589528</c:v>
                </c:pt>
                <c:pt idx="13">
                  <c:v>0.10569810969894203</c:v>
                </c:pt>
                <c:pt idx="14">
                  <c:v>3.7706887227603188E-2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E7-48D2-8CAD-AC89C1B40664}"/>
            </c:ext>
          </c:extLst>
        </c:ser>
        <c:ser>
          <c:idx val="2"/>
          <c:order val="1"/>
          <c:tx>
            <c:v>Fit</c:v>
          </c:tx>
          <c:spPr>
            <a:ln w="12700">
              <a:solidFill>
                <a:srgbClr val="CC9900"/>
              </a:solidFill>
              <a:prstDash val="lgDash"/>
            </a:ln>
          </c:spPr>
          <c:marker>
            <c:symbol val="none"/>
          </c:marker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'a1(I)'!$C$39:$Q$39</c:f>
              <c:numCache>
                <c:formatCode>0.0%</c:formatCode>
                <c:ptCount val="15"/>
                <c:pt idx="0">
                  <c:v>5.4214386276079961E-2</c:v>
                </c:pt>
                <c:pt idx="1">
                  <c:v>0.12586339105091232</c:v>
                </c:pt>
                <c:pt idx="2">
                  <c:v>0.30793501937898193</c:v>
                </c:pt>
                <c:pt idx="3">
                  <c:v>0.77936154186622153</c:v>
                </c:pt>
                <c:pt idx="4">
                  <c:v>0.93591831846298668</c:v>
                </c:pt>
                <c:pt idx="5">
                  <c:v>0.9728711309676511</c:v>
                </c:pt>
                <c:pt idx="6">
                  <c:v>0.98645432670589051</c:v>
                </c:pt>
                <c:pt idx="7">
                  <c:v>0.98291429311942313</c:v>
                </c:pt>
                <c:pt idx="8">
                  <c:v>0.93488750005003129</c:v>
                </c:pt>
                <c:pt idx="9">
                  <c:v>0.8369148075134859</c:v>
                </c:pt>
                <c:pt idx="10">
                  <c:v>0.67664489135095796</c:v>
                </c:pt>
                <c:pt idx="11">
                  <c:v>0.40935232831529961</c:v>
                </c:pt>
                <c:pt idx="12">
                  <c:v>0.1797707447277192</c:v>
                </c:pt>
                <c:pt idx="13">
                  <c:v>6.7664244242014907E-2</c:v>
                </c:pt>
                <c:pt idx="14">
                  <c:v>2.8081326419708629E-2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E7-48D2-8CAD-AC89C1B40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468392"/>
        <c:axId val="334276632"/>
      </c:scatterChart>
      <c:valAx>
        <c:axId val="33446839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b="0"/>
            </a:pPr>
            <a:endParaRPr lang="en-US"/>
          </a:p>
        </c:txPr>
        <c:crossAx val="334276632"/>
        <c:crosses val="autoZero"/>
        <c:crossBetween val="midCat"/>
        <c:majorUnit val="2"/>
      </c:valAx>
      <c:valAx>
        <c:axId val="334276632"/>
        <c:scaling>
          <c:orientation val="minMax"/>
          <c:max val="1.1500000000000001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334468392"/>
        <c:crosses val="autoZero"/>
        <c:crossBetween val="midCat"/>
      </c:valAx>
      <c:spPr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MMP-1(S318C)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2700"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'a1(I)'!$C$27:$Q$27</c:f>
                <c:numCache>
                  <c:formatCode>General</c:formatCode>
                  <c:ptCount val="15"/>
                  <c:pt idx="0">
                    <c:v>2.0603916862071826E-3</c:v>
                  </c:pt>
                  <c:pt idx="1">
                    <c:v>5.7530667705557158E-3</c:v>
                  </c:pt>
                  <c:pt idx="2">
                    <c:v>8.7141080246330733E-3</c:v>
                  </c:pt>
                  <c:pt idx="3">
                    <c:v>6.3448401900711169E-3</c:v>
                  </c:pt>
                  <c:pt idx="4">
                    <c:v>1.308631200419535E-2</c:v>
                  </c:pt>
                  <c:pt idx="5">
                    <c:v>1.1561214258215114E-2</c:v>
                  </c:pt>
                  <c:pt idx="6">
                    <c:v>7.5127758043802024E-3</c:v>
                  </c:pt>
                  <c:pt idx="7">
                    <c:v>1.419729805175329E-2</c:v>
                  </c:pt>
                  <c:pt idx="8">
                    <c:v>1.6121157525909771E-2</c:v>
                  </c:pt>
                  <c:pt idx="9">
                    <c:v>8.0715410290606634E-3</c:v>
                  </c:pt>
                  <c:pt idx="10">
                    <c:v>8.8058983783277801E-3</c:v>
                  </c:pt>
                  <c:pt idx="11">
                    <c:v>4.1974732893638941E-3</c:v>
                  </c:pt>
                  <c:pt idx="12">
                    <c:v>9.4152667292396082E-3</c:v>
                  </c:pt>
                  <c:pt idx="13">
                    <c:v>8.8010035156094596E-3</c:v>
                  </c:pt>
                  <c:pt idx="14">
                    <c:v>3.8462353098323906E-3</c:v>
                  </c:pt>
                </c:numCache>
              </c:numRef>
            </c:plus>
            <c:minus>
              <c:numRef>
                <c:f>'a1(I)'!$C$27:$Q$27</c:f>
                <c:numCache>
                  <c:formatCode>General</c:formatCode>
                  <c:ptCount val="15"/>
                  <c:pt idx="0">
                    <c:v>2.0603916862071826E-3</c:v>
                  </c:pt>
                  <c:pt idx="1">
                    <c:v>5.7530667705557158E-3</c:v>
                  </c:pt>
                  <c:pt idx="2">
                    <c:v>8.7141080246330733E-3</c:v>
                  </c:pt>
                  <c:pt idx="3">
                    <c:v>6.3448401900711169E-3</c:v>
                  </c:pt>
                  <c:pt idx="4">
                    <c:v>1.308631200419535E-2</c:v>
                  </c:pt>
                  <c:pt idx="5">
                    <c:v>1.1561214258215114E-2</c:v>
                  </c:pt>
                  <c:pt idx="6">
                    <c:v>7.5127758043802024E-3</c:v>
                  </c:pt>
                  <c:pt idx="7">
                    <c:v>1.419729805175329E-2</c:v>
                  </c:pt>
                  <c:pt idx="8">
                    <c:v>1.6121157525909771E-2</c:v>
                  </c:pt>
                  <c:pt idx="9">
                    <c:v>8.0715410290606634E-3</c:v>
                  </c:pt>
                  <c:pt idx="10">
                    <c:v>8.8058983783277801E-3</c:v>
                  </c:pt>
                  <c:pt idx="11">
                    <c:v>4.1974732893638941E-3</c:v>
                  </c:pt>
                  <c:pt idx="12">
                    <c:v>9.4152667292396082E-3</c:v>
                  </c:pt>
                  <c:pt idx="13">
                    <c:v>8.8010035156094596E-3</c:v>
                  </c:pt>
                  <c:pt idx="14">
                    <c:v>3.8462353098323906E-3</c:v>
                  </c:pt>
                </c:numCache>
              </c:numRef>
            </c:minus>
            <c:spPr>
              <a:ln w="12700" cap="sq"/>
            </c:spPr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'a1(I)'!$C$26:$Q$26</c:f>
              <c:numCache>
                <c:formatCode>0.0%</c:formatCode>
                <c:ptCount val="15"/>
                <c:pt idx="0">
                  <c:v>2.3773125525690044E-3</c:v>
                </c:pt>
                <c:pt idx="1">
                  <c:v>1.9430401731604419E-2</c:v>
                </c:pt>
                <c:pt idx="2">
                  <c:v>8.2884823932250551E-2</c:v>
                </c:pt>
                <c:pt idx="3">
                  <c:v>0.14897057329563723</c:v>
                </c:pt>
                <c:pt idx="4">
                  <c:v>0.18329881827219383</c:v>
                </c:pt>
                <c:pt idx="5">
                  <c:v>0.19520061661961075</c:v>
                </c:pt>
                <c:pt idx="6">
                  <c:v>0.20816153238546956</c:v>
                </c:pt>
                <c:pt idx="7">
                  <c:v>0.20518320049462138</c:v>
                </c:pt>
                <c:pt idx="8">
                  <c:v>0.16650583831269175</c:v>
                </c:pt>
                <c:pt idx="9">
                  <c:v>0.11328381387319059</c:v>
                </c:pt>
                <c:pt idx="10">
                  <c:v>7.9976394118193142E-2</c:v>
                </c:pt>
                <c:pt idx="11">
                  <c:v>5.2631864926847599E-2</c:v>
                </c:pt>
                <c:pt idx="12">
                  <c:v>2.9915928603047138E-2</c:v>
                </c:pt>
                <c:pt idx="13">
                  <c:v>1.0992864135096612E-2</c:v>
                </c:pt>
                <c:pt idx="14">
                  <c:v>2.2206249914983743E-3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0B-43A1-BEF5-F338D35EC806}"/>
            </c:ext>
          </c:extLst>
        </c:ser>
        <c:ser>
          <c:idx val="2"/>
          <c:order val="1"/>
          <c:tx>
            <c:v>Fit</c:v>
          </c:tx>
          <c:spPr>
            <a:ln w="12700">
              <a:solidFill>
                <a:srgbClr val="0070C0"/>
              </a:solidFill>
              <a:prstDash val="lgDash"/>
            </a:ln>
          </c:spPr>
          <c:marker>
            <c:symbol val="none"/>
          </c:marker>
          <c:xVal>
            <c:numRef>
              <c:f>'a1(I)'!$BE$3:$EG$3</c:f>
              <c:numCache>
                <c:formatCode>0.0</c:formatCode>
                <c:ptCount val="81"/>
                <c:pt idx="0">
                  <c:v>4</c:v>
                </c:pt>
                <c:pt idx="1">
                  <c:v>4.0999999999999996</c:v>
                </c:pt>
                <c:pt idx="2">
                  <c:v>4.2</c:v>
                </c:pt>
                <c:pt idx="3">
                  <c:v>4.3</c:v>
                </c:pt>
                <c:pt idx="4">
                  <c:v>4.4000000000000004</c:v>
                </c:pt>
                <c:pt idx="5">
                  <c:v>4.5</c:v>
                </c:pt>
                <c:pt idx="6">
                  <c:v>4.5999999999999996</c:v>
                </c:pt>
                <c:pt idx="7">
                  <c:v>4.7</c:v>
                </c:pt>
                <c:pt idx="8">
                  <c:v>4.8</c:v>
                </c:pt>
                <c:pt idx="9">
                  <c:v>4.9000000000000004</c:v>
                </c:pt>
                <c:pt idx="10">
                  <c:v>5</c:v>
                </c:pt>
                <c:pt idx="11">
                  <c:v>5.0999999999999996</c:v>
                </c:pt>
                <c:pt idx="12">
                  <c:v>5.2</c:v>
                </c:pt>
                <c:pt idx="13">
                  <c:v>5.3</c:v>
                </c:pt>
                <c:pt idx="14">
                  <c:v>5.4</c:v>
                </c:pt>
                <c:pt idx="15">
                  <c:v>5.4999999999999902</c:v>
                </c:pt>
                <c:pt idx="16">
                  <c:v>5.5999999999999899</c:v>
                </c:pt>
                <c:pt idx="17">
                  <c:v>5.6999999999999904</c:v>
                </c:pt>
                <c:pt idx="18">
                  <c:v>5.7999999999999901</c:v>
                </c:pt>
                <c:pt idx="19">
                  <c:v>5.8999999999999897</c:v>
                </c:pt>
                <c:pt idx="20">
                  <c:v>5.9999999999999902</c:v>
                </c:pt>
                <c:pt idx="21">
                  <c:v>6.0999999999999899</c:v>
                </c:pt>
                <c:pt idx="22">
                  <c:v>6.1999999999999904</c:v>
                </c:pt>
                <c:pt idx="23">
                  <c:v>6.2999999999999901</c:v>
                </c:pt>
                <c:pt idx="24">
                  <c:v>6.3999999999999897</c:v>
                </c:pt>
                <c:pt idx="25">
                  <c:v>6.4999999999999902</c:v>
                </c:pt>
                <c:pt idx="26">
                  <c:v>6.5999999999999899</c:v>
                </c:pt>
                <c:pt idx="27">
                  <c:v>6.6999999999999904</c:v>
                </c:pt>
                <c:pt idx="28">
                  <c:v>6.7999999999999901</c:v>
                </c:pt>
                <c:pt idx="29">
                  <c:v>6.8999999999999897</c:v>
                </c:pt>
                <c:pt idx="30">
                  <c:v>6.9999999999999902</c:v>
                </c:pt>
                <c:pt idx="31">
                  <c:v>7.0999999999999899</c:v>
                </c:pt>
                <c:pt idx="32">
                  <c:v>7.1999999999999904</c:v>
                </c:pt>
                <c:pt idx="33">
                  <c:v>7.2999999999999901</c:v>
                </c:pt>
                <c:pt idx="34">
                  <c:v>7.3999999999999897</c:v>
                </c:pt>
                <c:pt idx="35">
                  <c:v>7.4999999999999902</c:v>
                </c:pt>
                <c:pt idx="36">
                  <c:v>7.5999999999999899</c:v>
                </c:pt>
                <c:pt idx="37">
                  <c:v>7.6999999999999904</c:v>
                </c:pt>
                <c:pt idx="38">
                  <c:v>7.7999999999999901</c:v>
                </c:pt>
                <c:pt idx="39">
                  <c:v>7.8999999999999897</c:v>
                </c:pt>
                <c:pt idx="40">
                  <c:v>7.9999999999999902</c:v>
                </c:pt>
                <c:pt idx="41">
                  <c:v>8.0999999999999908</c:v>
                </c:pt>
                <c:pt idx="42">
                  <c:v>8.1999999999999904</c:v>
                </c:pt>
                <c:pt idx="43">
                  <c:v>8.2999999999999794</c:v>
                </c:pt>
                <c:pt idx="44">
                  <c:v>8.3999999999999808</c:v>
                </c:pt>
                <c:pt idx="45">
                  <c:v>8.4999999999999805</c:v>
                </c:pt>
                <c:pt idx="46">
                  <c:v>8.5999999999999801</c:v>
                </c:pt>
                <c:pt idx="47">
                  <c:v>8.6999999999999797</c:v>
                </c:pt>
                <c:pt idx="48">
                  <c:v>8.7999999999999794</c:v>
                </c:pt>
                <c:pt idx="49">
                  <c:v>8.8999999999999808</c:v>
                </c:pt>
                <c:pt idx="50">
                  <c:v>8.9999999999999805</c:v>
                </c:pt>
                <c:pt idx="51">
                  <c:v>9.0999999999999801</c:v>
                </c:pt>
                <c:pt idx="52">
                  <c:v>9.1999999999999797</c:v>
                </c:pt>
                <c:pt idx="53">
                  <c:v>9.2999999999999794</c:v>
                </c:pt>
                <c:pt idx="54">
                  <c:v>9.3999999999999808</c:v>
                </c:pt>
                <c:pt idx="55">
                  <c:v>9.4999999999999805</c:v>
                </c:pt>
                <c:pt idx="56">
                  <c:v>9.5999999999999801</c:v>
                </c:pt>
                <c:pt idx="57">
                  <c:v>9.6999999999999797</c:v>
                </c:pt>
                <c:pt idx="58">
                  <c:v>9.7999999999999794</c:v>
                </c:pt>
                <c:pt idx="59">
                  <c:v>9.8999999999999808</c:v>
                </c:pt>
                <c:pt idx="60">
                  <c:v>9.9999999999999805</c:v>
                </c:pt>
                <c:pt idx="61">
                  <c:v>10.1</c:v>
                </c:pt>
                <c:pt idx="62">
                  <c:v>10.199999999999999</c:v>
                </c:pt>
                <c:pt idx="63">
                  <c:v>10.3</c:v>
                </c:pt>
                <c:pt idx="64">
                  <c:v>10.4</c:v>
                </c:pt>
                <c:pt idx="65">
                  <c:v>10.5</c:v>
                </c:pt>
                <c:pt idx="66">
                  <c:v>10.6</c:v>
                </c:pt>
                <c:pt idx="67">
                  <c:v>10.7</c:v>
                </c:pt>
                <c:pt idx="68">
                  <c:v>10.8</c:v>
                </c:pt>
                <c:pt idx="69">
                  <c:v>10.9</c:v>
                </c:pt>
                <c:pt idx="70">
                  <c:v>11</c:v>
                </c:pt>
                <c:pt idx="71">
                  <c:v>11.1</c:v>
                </c:pt>
                <c:pt idx="72">
                  <c:v>11.2</c:v>
                </c:pt>
                <c:pt idx="73">
                  <c:v>11.3</c:v>
                </c:pt>
                <c:pt idx="74">
                  <c:v>11.4</c:v>
                </c:pt>
                <c:pt idx="75">
                  <c:v>11.5</c:v>
                </c:pt>
                <c:pt idx="76">
                  <c:v>11.6</c:v>
                </c:pt>
                <c:pt idx="77">
                  <c:v>11.7</c:v>
                </c:pt>
                <c:pt idx="78">
                  <c:v>11.8</c:v>
                </c:pt>
                <c:pt idx="79">
                  <c:v>11.9</c:v>
                </c:pt>
                <c:pt idx="80">
                  <c:v>12</c:v>
                </c:pt>
              </c:numCache>
            </c:numRef>
          </c:xVal>
          <c:yVal>
            <c:numRef>
              <c:f>'a1(I)'!$BE$31:$EG$31</c:f>
              <c:numCache>
                <c:formatCode>0.00%</c:formatCode>
                <c:ptCount val="81"/>
                <c:pt idx="0">
                  <c:v>6.8447807947994814E-3</c:v>
                </c:pt>
                <c:pt idx="1">
                  <c:v>8.5443137049655109E-3</c:v>
                </c:pt>
                <c:pt idx="2">
                  <c:v>1.0643520933152108E-2</c:v>
                </c:pt>
                <c:pt idx="3">
                  <c:v>1.3224299483563384E-2</c:v>
                </c:pt>
                <c:pt idx="4">
                  <c:v>1.6378951124947971E-2</c:v>
                </c:pt>
                <c:pt idx="5">
                  <c:v>2.0208119622781365E-2</c:v>
                </c:pt>
                <c:pt idx="6">
                  <c:v>2.4816634874477203E-2</c:v>
                </c:pt>
                <c:pt idx="7">
                  <c:v>3.0306636380037857E-2</c:v>
                </c:pt>
                <c:pt idx="8">
                  <c:v>3.6767544509830698E-2</c:v>
                </c:pt>
                <c:pt idx="9">
                  <c:v>4.4262950946297466E-2</c:v>
                </c:pt>
                <c:pt idx="10">
                  <c:v>5.28153775870484E-2</c:v>
                </c:pt>
                <c:pt idx="11">
                  <c:v>6.2391036580099653E-2</c:v>
                </c:pt>
                <c:pt idx="12">
                  <c:v>7.2887904956686456E-2</c:v>
                </c:pt>
                <c:pt idx="13">
                  <c:v>8.4131041300781723E-2</c:v>
                </c:pt>
                <c:pt idx="14">
                  <c:v>9.5878477498610004E-2</c:v>
                </c:pt>
                <c:pt idx="15">
                  <c:v>0.10783889502359238</c:v>
                </c:pt>
                <c:pt idx="16">
                  <c:v>0.11969905969217041</c:v>
                </c:pt>
                <c:pt idx="17">
                  <c:v>0.13115584998564919</c:v>
                </c:pt>
                <c:pt idx="18">
                  <c:v>0.14194612127364029</c:v>
                </c:pt>
                <c:pt idx="19">
                  <c:v>0.15186840502231838</c:v>
                </c:pt>
                <c:pt idx="20">
                  <c:v>0.16079316158009693</c:v>
                </c:pt>
                <c:pt idx="21">
                  <c:v>0.1686616761221367</c:v>
                </c:pt>
                <c:pt idx="22">
                  <c:v>0.17547631794007371</c:v>
                </c:pt>
                <c:pt idx="23">
                  <c:v>0.18128603824517231</c:v>
                </c:pt>
                <c:pt idx="24">
                  <c:v>0.18617074658561103</c:v>
                </c:pt>
                <c:pt idx="25">
                  <c:v>0.19022715807428822</c:v>
                </c:pt>
                <c:pt idx="26">
                  <c:v>0.19355746960400083</c:v>
                </c:pt>
                <c:pt idx="27">
                  <c:v>0.19626121220579323</c:v>
                </c:pt>
                <c:pt idx="28">
                  <c:v>0.19842998670819481</c:v>
                </c:pt>
                <c:pt idx="29">
                  <c:v>0.2001444910838153</c:v>
                </c:pt>
                <c:pt idx="30">
                  <c:v>0.2014731865659041</c:v>
                </c:pt>
                <c:pt idx="31">
                  <c:v>0.20247201885379704</c:v>
                </c:pt>
                <c:pt idx="32">
                  <c:v>0.20318473129094569</c:v>
                </c:pt>
                <c:pt idx="33">
                  <c:v>0.20364343175545147</c:v>
                </c:pt>
                <c:pt idx="34">
                  <c:v>0.20386918219600478</c:v>
                </c:pt>
                <c:pt idx="35">
                  <c:v>0.20387246314785742</c:v>
                </c:pt>
                <c:pt idx="36">
                  <c:v>0.20365342749016921</c:v>
                </c:pt>
                <c:pt idx="37">
                  <c:v>0.20320190425791751</c:v>
                </c:pt>
                <c:pt idx="38">
                  <c:v>0.20249715195431392</c:v>
                </c:pt>
                <c:pt idx="39">
                  <c:v>0.20150739932586723</c:v>
                </c:pt>
                <c:pt idx="40">
                  <c:v>0.20018925776787952</c:v>
                </c:pt>
                <c:pt idx="41">
                  <c:v>0.19848715089888139</c:v>
                </c:pt>
                <c:pt idx="42">
                  <c:v>0.19633298954475545</c:v>
                </c:pt>
                <c:pt idx="43">
                  <c:v>0.19364642689014458</c:v>
                </c:pt>
                <c:pt idx="44">
                  <c:v>0.19033615310231056</c:v>
                </c:pt>
                <c:pt idx="45">
                  <c:v>0.1863028099566208</c:v>
                </c:pt>
                <c:pt idx="46">
                  <c:v>0.1814441777318069</c:v>
                </c:pt>
                <c:pt idx="47">
                  <c:v>0.17566323066703421</c:v>
                </c:pt>
                <c:pt idx="48">
                  <c:v>0.16887936720451013</c:v>
                </c:pt>
                <c:pt idx="49">
                  <c:v>0.16104249241999816</c:v>
                </c:pt>
                <c:pt idx="50">
                  <c:v>0.15214862906665</c:v>
                </c:pt>
                <c:pt idx="51">
                  <c:v>0.14225450174081178</c:v>
                </c:pt>
                <c:pt idx="52">
                  <c:v>0.13148747687035861</c:v>
                </c:pt>
                <c:pt idx="53">
                  <c:v>0.12004697242197088</c:v>
                </c:pt>
                <c:pt idx="54">
                  <c:v>0.1081945600874696</c:v>
                </c:pt>
                <c:pt idx="55">
                  <c:v>9.6232575741291682E-2</c:v>
                </c:pt>
                <c:pt idx="56">
                  <c:v>8.4474421108071809E-2</c:v>
                </c:pt>
                <c:pt idx="57">
                  <c:v>7.3212500088339447E-2</c:v>
                </c:pt>
                <c:pt idx="58">
                  <c:v>6.2690559951575867E-2</c:v>
                </c:pt>
                <c:pt idx="59">
                  <c:v>5.30856783826016E-2</c:v>
                </c:pt>
                <c:pt idx="60">
                  <c:v>4.4502024597831702E-2</c:v>
                </c:pt>
                <c:pt idx="61">
                  <c:v>3.6975269539463763E-2</c:v>
                </c:pt>
                <c:pt idx="62">
                  <c:v>3.0484353137100996E-2</c:v>
                </c:pt>
                <c:pt idx="63">
                  <c:v>2.4966678595443385E-2</c:v>
                </c:pt>
                <c:pt idx="64">
                  <c:v>2.0333390520550467E-2</c:v>
                </c:pt>
                <c:pt idx="65">
                  <c:v>1.6482566837594415E-2</c:v>
                </c:pt>
                <c:pt idx="66">
                  <c:v>1.3309343570989847E-2</c:v>
                </c:pt>
                <c:pt idx="67">
                  <c:v>1.0712880516124214E-2</c:v>
                </c:pt>
                <c:pt idx="68">
                  <c:v>8.6005893317012624E-3</c:v>
                </c:pt>
                <c:pt idx="69">
                  <c:v>6.8902491713544178E-3</c:v>
                </c:pt>
                <c:pt idx="70">
                  <c:v>5.5106393002133788E-3</c:v>
                </c:pt>
                <c:pt idx="71">
                  <c:v>4.4012225653756506E-3</c:v>
                </c:pt>
                <c:pt idx="72">
                  <c:v>3.5112861776606117E-3</c:v>
                </c:pt>
                <c:pt idx="73">
                  <c:v>2.7988247644500155E-3</c:v>
                </c:pt>
                <c:pt idx="74">
                  <c:v>2.2293511509316024E-3</c:v>
                </c:pt>
                <c:pt idx="75">
                  <c:v>1.7747462047466012E-3</c:v>
                </c:pt>
                <c:pt idx="76">
                  <c:v>1.4122076246557988E-3</c:v>
                </c:pt>
                <c:pt idx="77">
                  <c:v>1.1233239536874635E-3</c:v>
                </c:pt>
                <c:pt idx="78">
                  <c:v>8.9327948175549755E-4</c:v>
                </c:pt>
                <c:pt idx="79">
                  <c:v>7.1018398715069254E-4</c:v>
                </c:pt>
                <c:pt idx="80">
                  <c:v>5.6451535053232877E-4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0B-43A1-BEF5-F338D35EC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279768"/>
        <c:axId val="334280160"/>
      </c:scatterChart>
      <c:valAx>
        <c:axId val="33427976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0"/>
            </a:pPr>
            <a:endParaRPr lang="en-US"/>
          </a:p>
        </c:txPr>
        <c:crossAx val="334280160"/>
        <c:crosses val="autoZero"/>
        <c:crossBetween val="midCat"/>
        <c:majorUnit val="2"/>
      </c:valAx>
      <c:valAx>
        <c:axId val="334280160"/>
        <c:scaling>
          <c:orientation val="minMax"/>
          <c:max val="0.30000000000000004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33427976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  <a:prstDash val="lgDash"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MMP-1(DS)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C9900"/>
              </a:solidFill>
              <a:ln w="12700"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'a1(I)'!$C$36:$Q$36</c:f>
                <c:numCache>
                  <c:formatCode>General</c:formatCode>
                  <c:ptCount val="15"/>
                  <c:pt idx="0">
                    <c:v>1.8333718922513343E-3</c:v>
                  </c:pt>
                  <c:pt idx="1">
                    <c:v>4.8294379674172919E-3</c:v>
                  </c:pt>
                  <c:pt idx="2">
                    <c:v>7.1373154452709399E-3</c:v>
                  </c:pt>
                  <c:pt idx="3">
                    <c:v>1.0115404891848036E-2</c:v>
                  </c:pt>
                  <c:pt idx="4">
                    <c:v>1.8274066128926174E-2</c:v>
                  </c:pt>
                  <c:pt idx="5">
                    <c:v>1.8757175625666048E-2</c:v>
                  </c:pt>
                  <c:pt idx="6">
                    <c:v>1.1414301867916509E-2</c:v>
                  </c:pt>
                  <c:pt idx="7">
                    <c:v>1.747808951922632E-2</c:v>
                  </c:pt>
                  <c:pt idx="8">
                    <c:v>2.1256903308087976E-2</c:v>
                  </c:pt>
                  <c:pt idx="9">
                    <c:v>1.7889648041871049E-2</c:v>
                  </c:pt>
                  <c:pt idx="10">
                    <c:v>1.974291421801545E-2</c:v>
                  </c:pt>
                  <c:pt idx="11">
                    <c:v>1.6046066060469905E-2</c:v>
                  </c:pt>
                  <c:pt idx="12">
                    <c:v>1.7775024347992656E-2</c:v>
                  </c:pt>
                  <c:pt idx="13">
                    <c:v>1.326492660881977E-2</c:v>
                  </c:pt>
                  <c:pt idx="14">
                    <c:v>5.2150982757144309E-3</c:v>
                  </c:pt>
                </c:numCache>
              </c:numRef>
            </c:plus>
            <c:minus>
              <c:numRef>
                <c:f>'a1(I)'!$C$36:$Q$36</c:f>
                <c:numCache>
                  <c:formatCode>General</c:formatCode>
                  <c:ptCount val="15"/>
                  <c:pt idx="0">
                    <c:v>1.8333718922513343E-3</c:v>
                  </c:pt>
                  <c:pt idx="1">
                    <c:v>4.8294379674172919E-3</c:v>
                  </c:pt>
                  <c:pt idx="2">
                    <c:v>7.1373154452709399E-3</c:v>
                  </c:pt>
                  <c:pt idx="3">
                    <c:v>1.0115404891848036E-2</c:v>
                  </c:pt>
                  <c:pt idx="4">
                    <c:v>1.8274066128926174E-2</c:v>
                  </c:pt>
                  <c:pt idx="5">
                    <c:v>1.8757175625666048E-2</c:v>
                  </c:pt>
                  <c:pt idx="6">
                    <c:v>1.1414301867916509E-2</c:v>
                  </c:pt>
                  <c:pt idx="7">
                    <c:v>1.747808951922632E-2</c:v>
                  </c:pt>
                  <c:pt idx="8">
                    <c:v>2.1256903308087976E-2</c:v>
                  </c:pt>
                  <c:pt idx="9">
                    <c:v>1.7889648041871049E-2</c:v>
                  </c:pt>
                  <c:pt idx="10">
                    <c:v>1.974291421801545E-2</c:v>
                  </c:pt>
                  <c:pt idx="11">
                    <c:v>1.6046066060469905E-2</c:v>
                  </c:pt>
                  <c:pt idx="12">
                    <c:v>1.7775024347992656E-2</c:v>
                  </c:pt>
                  <c:pt idx="13">
                    <c:v>1.326492660881977E-2</c:v>
                  </c:pt>
                  <c:pt idx="14">
                    <c:v>5.2150982757144309E-3</c:v>
                  </c:pt>
                </c:numCache>
              </c:numRef>
            </c:minus>
            <c:spPr>
              <a:ln w="12700" cap="sq"/>
            </c:spPr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'a1(I)'!$C$35:$Q$35</c:f>
              <c:numCache>
                <c:formatCode>0.0%</c:formatCode>
                <c:ptCount val="15"/>
                <c:pt idx="0">
                  <c:v>1.0584977555160014E-3</c:v>
                </c:pt>
                <c:pt idx="1">
                  <c:v>2.3585186104083736E-2</c:v>
                </c:pt>
                <c:pt idx="2">
                  <c:v>8.2182052784524909E-2</c:v>
                </c:pt>
                <c:pt idx="3">
                  <c:v>0.16029008156082533</c:v>
                </c:pt>
                <c:pt idx="4">
                  <c:v>0.19462755125318812</c:v>
                </c:pt>
                <c:pt idx="5">
                  <c:v>0.20837604001717858</c:v>
                </c:pt>
                <c:pt idx="6">
                  <c:v>0.21472896796333255</c:v>
                </c:pt>
                <c:pt idx="7">
                  <c:v>0.22481703054939448</c:v>
                </c:pt>
                <c:pt idx="8">
                  <c:v>0.22123590825275863</c:v>
                </c:pt>
                <c:pt idx="9">
                  <c:v>0.17635652934257609</c:v>
                </c:pt>
                <c:pt idx="10">
                  <c:v>0.13245231326740348</c:v>
                </c:pt>
                <c:pt idx="11">
                  <c:v>9.1414422134622184E-2</c:v>
                </c:pt>
                <c:pt idx="12">
                  <c:v>5.1147748638487776E-2</c:v>
                </c:pt>
                <c:pt idx="13">
                  <c:v>2.3762735157200298E-2</c:v>
                </c:pt>
                <c:pt idx="14">
                  <c:v>8.4771504177706385E-3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F-4CAD-90E2-E8241B912114}"/>
            </c:ext>
          </c:extLst>
        </c:ser>
        <c:ser>
          <c:idx val="2"/>
          <c:order val="1"/>
          <c:tx>
            <c:v>Fit</c:v>
          </c:tx>
          <c:spPr>
            <a:ln w="12700">
              <a:solidFill>
                <a:srgbClr val="CC9900"/>
              </a:solidFill>
              <a:prstDash val="lgDash"/>
            </a:ln>
          </c:spPr>
          <c:marker>
            <c:symbol val="none"/>
          </c:marker>
          <c:xVal>
            <c:numRef>
              <c:f>'a1(I)'!$BE$3:$EG$3</c:f>
              <c:numCache>
                <c:formatCode>0.0</c:formatCode>
                <c:ptCount val="81"/>
                <c:pt idx="0">
                  <c:v>4</c:v>
                </c:pt>
                <c:pt idx="1">
                  <c:v>4.0999999999999996</c:v>
                </c:pt>
                <c:pt idx="2">
                  <c:v>4.2</c:v>
                </c:pt>
                <c:pt idx="3">
                  <c:v>4.3</c:v>
                </c:pt>
                <c:pt idx="4">
                  <c:v>4.4000000000000004</c:v>
                </c:pt>
                <c:pt idx="5">
                  <c:v>4.5</c:v>
                </c:pt>
                <c:pt idx="6">
                  <c:v>4.5999999999999996</c:v>
                </c:pt>
                <c:pt idx="7">
                  <c:v>4.7</c:v>
                </c:pt>
                <c:pt idx="8">
                  <c:v>4.8</c:v>
                </c:pt>
                <c:pt idx="9">
                  <c:v>4.9000000000000004</c:v>
                </c:pt>
                <c:pt idx="10">
                  <c:v>5</c:v>
                </c:pt>
                <c:pt idx="11">
                  <c:v>5.0999999999999996</c:v>
                </c:pt>
                <c:pt idx="12">
                  <c:v>5.2</c:v>
                </c:pt>
                <c:pt idx="13">
                  <c:v>5.3</c:v>
                </c:pt>
                <c:pt idx="14">
                  <c:v>5.4</c:v>
                </c:pt>
                <c:pt idx="15">
                  <c:v>5.4999999999999902</c:v>
                </c:pt>
                <c:pt idx="16">
                  <c:v>5.5999999999999899</c:v>
                </c:pt>
                <c:pt idx="17">
                  <c:v>5.6999999999999904</c:v>
                </c:pt>
                <c:pt idx="18">
                  <c:v>5.7999999999999901</c:v>
                </c:pt>
                <c:pt idx="19">
                  <c:v>5.8999999999999897</c:v>
                </c:pt>
                <c:pt idx="20">
                  <c:v>5.9999999999999902</c:v>
                </c:pt>
                <c:pt idx="21">
                  <c:v>6.0999999999999899</c:v>
                </c:pt>
                <c:pt idx="22">
                  <c:v>6.1999999999999904</c:v>
                </c:pt>
                <c:pt idx="23">
                  <c:v>6.2999999999999901</c:v>
                </c:pt>
                <c:pt idx="24">
                  <c:v>6.3999999999999897</c:v>
                </c:pt>
                <c:pt idx="25">
                  <c:v>6.4999999999999902</c:v>
                </c:pt>
                <c:pt idx="26">
                  <c:v>6.5999999999999899</c:v>
                </c:pt>
                <c:pt idx="27">
                  <c:v>6.6999999999999904</c:v>
                </c:pt>
                <c:pt idx="28">
                  <c:v>6.7999999999999901</c:v>
                </c:pt>
                <c:pt idx="29">
                  <c:v>6.8999999999999897</c:v>
                </c:pt>
                <c:pt idx="30">
                  <c:v>6.9999999999999902</c:v>
                </c:pt>
                <c:pt idx="31">
                  <c:v>7.0999999999999899</c:v>
                </c:pt>
                <c:pt idx="32">
                  <c:v>7.1999999999999904</c:v>
                </c:pt>
                <c:pt idx="33">
                  <c:v>7.2999999999999901</c:v>
                </c:pt>
                <c:pt idx="34">
                  <c:v>7.3999999999999897</c:v>
                </c:pt>
                <c:pt idx="35">
                  <c:v>7.4999999999999902</c:v>
                </c:pt>
                <c:pt idx="36">
                  <c:v>7.5999999999999899</c:v>
                </c:pt>
                <c:pt idx="37">
                  <c:v>7.6999999999999904</c:v>
                </c:pt>
                <c:pt idx="38">
                  <c:v>7.7999999999999901</c:v>
                </c:pt>
                <c:pt idx="39">
                  <c:v>7.8999999999999897</c:v>
                </c:pt>
                <c:pt idx="40">
                  <c:v>7.9999999999999902</c:v>
                </c:pt>
                <c:pt idx="41">
                  <c:v>8.0999999999999908</c:v>
                </c:pt>
                <c:pt idx="42">
                  <c:v>8.1999999999999904</c:v>
                </c:pt>
                <c:pt idx="43">
                  <c:v>8.2999999999999794</c:v>
                </c:pt>
                <c:pt idx="44">
                  <c:v>8.3999999999999808</c:v>
                </c:pt>
                <c:pt idx="45">
                  <c:v>8.4999999999999805</c:v>
                </c:pt>
                <c:pt idx="46">
                  <c:v>8.5999999999999801</c:v>
                </c:pt>
                <c:pt idx="47">
                  <c:v>8.6999999999999797</c:v>
                </c:pt>
                <c:pt idx="48">
                  <c:v>8.7999999999999794</c:v>
                </c:pt>
                <c:pt idx="49">
                  <c:v>8.8999999999999808</c:v>
                </c:pt>
                <c:pt idx="50">
                  <c:v>8.9999999999999805</c:v>
                </c:pt>
                <c:pt idx="51">
                  <c:v>9.0999999999999801</c:v>
                </c:pt>
                <c:pt idx="52">
                  <c:v>9.1999999999999797</c:v>
                </c:pt>
                <c:pt idx="53">
                  <c:v>9.2999999999999794</c:v>
                </c:pt>
                <c:pt idx="54">
                  <c:v>9.3999999999999808</c:v>
                </c:pt>
                <c:pt idx="55">
                  <c:v>9.4999999999999805</c:v>
                </c:pt>
                <c:pt idx="56">
                  <c:v>9.5999999999999801</c:v>
                </c:pt>
                <c:pt idx="57">
                  <c:v>9.6999999999999797</c:v>
                </c:pt>
                <c:pt idx="58">
                  <c:v>9.7999999999999794</c:v>
                </c:pt>
                <c:pt idx="59">
                  <c:v>9.8999999999999808</c:v>
                </c:pt>
                <c:pt idx="60">
                  <c:v>9.9999999999999805</c:v>
                </c:pt>
                <c:pt idx="61">
                  <c:v>10.1</c:v>
                </c:pt>
                <c:pt idx="62">
                  <c:v>10.199999999999999</c:v>
                </c:pt>
                <c:pt idx="63">
                  <c:v>10.3</c:v>
                </c:pt>
                <c:pt idx="64">
                  <c:v>10.4</c:v>
                </c:pt>
                <c:pt idx="65">
                  <c:v>10.5</c:v>
                </c:pt>
                <c:pt idx="66">
                  <c:v>10.6</c:v>
                </c:pt>
                <c:pt idx="67">
                  <c:v>10.7</c:v>
                </c:pt>
                <c:pt idx="68">
                  <c:v>10.8</c:v>
                </c:pt>
                <c:pt idx="69">
                  <c:v>10.9</c:v>
                </c:pt>
                <c:pt idx="70">
                  <c:v>11</c:v>
                </c:pt>
                <c:pt idx="71">
                  <c:v>11.1</c:v>
                </c:pt>
                <c:pt idx="72">
                  <c:v>11.2</c:v>
                </c:pt>
                <c:pt idx="73">
                  <c:v>11.3</c:v>
                </c:pt>
                <c:pt idx="74">
                  <c:v>11.4</c:v>
                </c:pt>
                <c:pt idx="75">
                  <c:v>11.5</c:v>
                </c:pt>
                <c:pt idx="76">
                  <c:v>11.6</c:v>
                </c:pt>
                <c:pt idx="77">
                  <c:v>11.7</c:v>
                </c:pt>
                <c:pt idx="78">
                  <c:v>11.8</c:v>
                </c:pt>
                <c:pt idx="79">
                  <c:v>11.9</c:v>
                </c:pt>
                <c:pt idx="80">
                  <c:v>12</c:v>
                </c:pt>
              </c:numCache>
            </c:numRef>
          </c:xVal>
          <c:yVal>
            <c:numRef>
              <c:f>'a1(I)'!$BE$40:$EG$40</c:f>
              <c:numCache>
                <c:formatCode>0.00%</c:formatCode>
                <c:ptCount val="81"/>
                <c:pt idx="0">
                  <c:v>6.8656541611905146E-3</c:v>
                </c:pt>
                <c:pt idx="1">
                  <c:v>8.575534529515462E-3</c:v>
                </c:pt>
                <c:pt idx="2">
                  <c:v>1.0690369645068538E-2</c:v>
                </c:pt>
                <c:pt idx="3">
                  <c:v>1.3294683315257348E-2</c:v>
                </c:pt>
                <c:pt idx="4">
                  <c:v>1.6484596459354996E-2</c:v>
                </c:pt>
                <c:pt idx="5">
                  <c:v>2.0366196049583722E-2</c:v>
                </c:pt>
                <c:pt idx="6">
                  <c:v>2.5051875588455622E-2</c:v>
                </c:pt>
                <c:pt idx="7">
                  <c:v>3.0653951794758678E-2</c:v>
                </c:pt>
                <c:pt idx="8">
                  <c:v>3.7274990300284618E-2</c:v>
                </c:pt>
                <c:pt idx="9">
                  <c:v>4.4994694236062303E-2</c:v>
                </c:pt>
                <c:pt idx="10">
                  <c:v>5.3854021960436996E-2</c:v>
                </c:pt>
                <c:pt idx="11">
                  <c:v>6.3838391197252084E-2</c:v>
                </c:pt>
                <c:pt idx="12">
                  <c:v>7.4863158379992786E-2</c:v>
                </c:pt>
                <c:pt idx="13">
                  <c:v>8.6765507617288698E-2</c:v>
                </c:pt>
                <c:pt idx="14">
                  <c:v>9.9306740563485194E-2</c:v>
                </c:pt>
                <c:pt idx="15">
                  <c:v>0.11218720886225234</c:v>
                </c:pt>
                <c:pt idx="16">
                  <c:v>0.12507292645136697</c:v>
                </c:pt>
                <c:pt idx="17">
                  <c:v>0.13762929520876202</c:v>
                </c:pt>
                <c:pt idx="18">
                  <c:v>0.14955495436820115</c:v>
                </c:pt>
                <c:pt idx="19">
                  <c:v>0.16060872012203437</c:v>
                </c:pt>
                <c:pt idx="20">
                  <c:v>0.17062493938175757</c:v>
                </c:pt>
                <c:pt idx="21">
                  <c:v>0.17951617201649578</c:v>
                </c:pt>
                <c:pt idx="22">
                  <c:v>0.18726535536583036</c:v>
                </c:pt>
                <c:pt idx="23">
                  <c:v>0.19391141044377577</c:v>
                </c:pt>
                <c:pt idx="24">
                  <c:v>0.19953244008061222</c:v>
                </c:pt>
                <c:pt idx="25">
                  <c:v>0.20422974824603796</c:v>
                </c:pt>
                <c:pt idx="26">
                  <c:v>0.2081145807819699</c:v>
                </c:pt>
                <c:pt idx="27">
                  <c:v>0.21129828620876032</c:v>
                </c:pt>
                <c:pt idx="28">
                  <c:v>0.2138857685347777</c:v>
                </c:pt>
                <c:pt idx="29">
                  <c:v>0.21597167044364948</c:v>
                </c:pt>
                <c:pt idx="30">
                  <c:v>0.21763858851072476</c:v>
                </c:pt>
                <c:pt idx="31">
                  <c:v>0.21895666218994869</c:v>
                </c:pt>
                <c:pt idx="32">
                  <c:v>0.21998399804692709</c:v>
                </c:pt>
                <c:pt idx="33">
                  <c:v>0.22076752805259406</c:v>
                </c:pt>
                <c:pt idx="34">
                  <c:v>0.22134402374585885</c:v>
                </c:pt>
                <c:pt idx="35">
                  <c:v>0.22174108484200844</c:v>
                </c:pt>
                <c:pt idx="36">
                  <c:v>0.2219779906199196</c:v>
                </c:pt>
                <c:pt idx="37">
                  <c:v>0.22206634934632388</c:v>
                </c:pt>
                <c:pt idx="38">
                  <c:v>0.22201051075727785</c:v>
                </c:pt>
                <c:pt idx="39">
                  <c:v>0.22180772474516014</c:v>
                </c:pt>
                <c:pt idx="40">
                  <c:v>0.22144804076845068</c:v>
                </c:pt>
                <c:pt idx="41">
                  <c:v>0.22091395139763459</c:v>
                </c:pt>
                <c:pt idx="42">
                  <c:v>0.22017979386601721</c:v>
                </c:pt>
                <c:pt idx="43">
                  <c:v>0.21921093970400077</c:v>
                </c:pt>
                <c:pt idx="44">
                  <c:v>0.21796282922272234</c:v>
                </c:pt>
                <c:pt idx="45">
                  <c:v>0.21637995017791564</c:v>
                </c:pt>
                <c:pt idx="46">
                  <c:v>0.21439492411590763</c:v>
                </c:pt>
                <c:pt idx="47">
                  <c:v>0.21192795441971315</c:v>
                </c:pt>
                <c:pt idx="48">
                  <c:v>0.20888700769268315</c:v>
                </c:pt>
                <c:pt idx="49">
                  <c:v>0.20516923613999302</c:v>
                </c:pt>
                <c:pt idx="50">
                  <c:v>0.20066427648685212</c:v>
                </c:pt>
                <c:pt idx="51">
                  <c:v>0.19526012618846786</c:v>
                </c:pt>
                <c:pt idx="52">
                  <c:v>0.18885221076324485</c:v>
                </c:pt>
                <c:pt idx="53">
                  <c:v>0.18135589956584755</c:v>
                </c:pt>
                <c:pt idx="54">
                  <c:v>0.17272199318860434</c:v>
                </c:pt>
                <c:pt idx="55">
                  <c:v>0.16295357660947402</c:v>
                </c:pt>
                <c:pt idx="56">
                  <c:v>0.15212129520994222</c:v>
                </c:pt>
                <c:pt idx="57">
                  <c:v>0.14037303870734025</c:v>
                </c:pt>
                <c:pt idx="58">
                  <c:v>0.12793390039275299</c:v>
                </c:pt>
                <c:pt idx="59">
                  <c:v>0.11509370655675245</c:v>
                </c:pt>
                <c:pt idx="60">
                  <c:v>0.10218239195398818</c:v>
                </c:pt>
                <c:pt idx="61">
                  <c:v>8.953714113845733E-2</c:v>
                </c:pt>
                <c:pt idx="62">
                  <c:v>7.7467982478315281E-2</c:v>
                </c:pt>
                <c:pt idx="63">
                  <c:v>6.6229064130555612E-2</c:v>
                </c:pt>
                <c:pt idx="64">
                  <c:v>5.6000881495032663E-2</c:v>
                </c:pt>
                <c:pt idx="65">
                  <c:v>4.6885246875111544E-2</c:v>
                </c:pt>
                <c:pt idx="66">
                  <c:v>3.8911376459813553E-2</c:v>
                </c:pt>
                <c:pt idx="67">
                  <c:v>3.2049348167767666E-2</c:v>
                </c:pt>
                <c:pt idx="68">
                  <c:v>2.6226708528672649E-2</c:v>
                </c:pt>
                <c:pt idx="69">
                  <c:v>2.1344769831904156E-2</c:v>
                </c:pt>
                <c:pt idx="70">
                  <c:v>1.7292439189471168E-2</c:v>
                </c:pt>
                <c:pt idx="71">
                  <c:v>1.3956674539065805E-2</c:v>
                </c:pt>
                <c:pt idx="72">
                  <c:v>1.1229567377278128E-2</c:v>
                </c:pt>
                <c:pt idx="73">
                  <c:v>9.0125546544686345E-3</c:v>
                </c:pt>
                <c:pt idx="74">
                  <c:v>7.2184455223985658E-3</c:v>
                </c:pt>
                <c:pt idx="75">
                  <c:v>5.7719329004962908E-3</c:v>
                </c:pt>
                <c:pt idx="76">
                  <c:v>4.6091483854804865E-3</c:v>
                </c:pt>
                <c:pt idx="77">
                  <c:v>3.6766805385888991E-3</c:v>
                </c:pt>
                <c:pt idx="78">
                  <c:v>2.9303479994829914E-3</c:v>
                </c:pt>
                <c:pt idx="79">
                  <c:v>2.3339151609699862E-3</c:v>
                </c:pt>
                <c:pt idx="80">
                  <c:v>1.8578616967518187E-3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F-4CAD-90E2-E8241B912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688688"/>
        <c:axId val="334689080"/>
      </c:scatterChart>
      <c:valAx>
        <c:axId val="33468868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b="0"/>
            </a:pPr>
            <a:endParaRPr lang="en-US"/>
          </a:p>
        </c:txPr>
        <c:crossAx val="334689080"/>
        <c:crosses val="autoZero"/>
        <c:crossBetween val="midCat"/>
        <c:majorUnit val="2"/>
      </c:valAx>
      <c:valAx>
        <c:axId val="33468908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33468868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image" Target="../media/image1.png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41</xdr:row>
      <xdr:rowOff>0</xdr:rowOff>
    </xdr:from>
    <xdr:to>
      <xdr:col>7</xdr:col>
      <xdr:colOff>509137</xdr:colOff>
      <xdr:row>56</xdr:row>
      <xdr:rowOff>22500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600075</xdr:colOff>
      <xdr:row>41</xdr:row>
      <xdr:rowOff>0</xdr:rowOff>
    </xdr:from>
    <xdr:to>
      <xdr:col>13</xdr:col>
      <xdr:colOff>485325</xdr:colOff>
      <xdr:row>56</xdr:row>
      <xdr:rowOff>22500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600075</xdr:colOff>
      <xdr:row>41</xdr:row>
      <xdr:rowOff>0</xdr:rowOff>
    </xdr:from>
    <xdr:to>
      <xdr:col>19</xdr:col>
      <xdr:colOff>504375</xdr:colOff>
      <xdr:row>56</xdr:row>
      <xdr:rowOff>22500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41</xdr:row>
      <xdr:rowOff>0</xdr:rowOff>
    </xdr:from>
    <xdr:to>
      <xdr:col>25</xdr:col>
      <xdr:colOff>552000</xdr:colOff>
      <xdr:row>56</xdr:row>
      <xdr:rowOff>22500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29</xdr:col>
      <xdr:colOff>0</xdr:colOff>
      <xdr:row>85</xdr:row>
      <xdr:rowOff>0</xdr:rowOff>
    </xdr:from>
    <xdr:to>
      <xdr:col>42</xdr:col>
      <xdr:colOff>106488</xdr:colOff>
      <xdr:row>108</xdr:row>
      <xdr:rowOff>100853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32904" t="23900" r="5939" b="14818"/>
        <a:stretch/>
      </xdr:blipFill>
      <xdr:spPr>
        <a:xfrm>
          <a:off x="17716500" y="17335500"/>
          <a:ext cx="7956177" cy="4482353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57</xdr:row>
      <xdr:rowOff>0</xdr:rowOff>
    </xdr:from>
    <xdr:to>
      <xdr:col>16</xdr:col>
      <xdr:colOff>414706</xdr:colOff>
      <xdr:row>57</xdr:row>
      <xdr:rowOff>42088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58</xdr:row>
      <xdr:rowOff>0</xdr:rowOff>
    </xdr:from>
    <xdr:to>
      <xdr:col>21</xdr:col>
      <xdr:colOff>196711</xdr:colOff>
      <xdr:row>65</xdr:row>
      <xdr:rowOff>103052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57</xdr:row>
      <xdr:rowOff>0</xdr:rowOff>
    </xdr:from>
    <xdr:to>
      <xdr:col>21</xdr:col>
      <xdr:colOff>459529</xdr:colOff>
      <xdr:row>57</xdr:row>
      <xdr:rowOff>42088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6</xdr:col>
      <xdr:colOff>414706</xdr:colOff>
      <xdr:row>57</xdr:row>
      <xdr:rowOff>42088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57</xdr:row>
      <xdr:rowOff>0</xdr:rowOff>
    </xdr:from>
    <xdr:to>
      <xdr:col>11</xdr:col>
      <xdr:colOff>421429</xdr:colOff>
      <xdr:row>57</xdr:row>
      <xdr:rowOff>42088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2.5%20nM%20WT%20MMP-1%20pH%204.3-11.5%2030'%20red/20171104%20800%20nM%20col%202.5%20nM%20WT%20MMP-1%20pH%204.3-11.5%2030'%20r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2.5%20nM%20WT%20MMP-1%20pH%204.3-11.5%2030'%20green/20171104%20800%20nM%20col%202.5%20nM%20WT%20MMP-1%20pH%204.3-11.5%2030'%20gree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2.5%20nM%20WT%20MMP-1%20pH%204.3-11.5%2030'%20blue/20171104%20800%20nM%20col%202.5%20nM%20WT%20MMP-1%20pH%204.3-11.5%2030'%20blu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10%20nM%20MMP-1(S243C)%20pH%204.3-11.5%2030'%20red/20171104%20800%20nM%20col%2010%20nM%20MMP-1(S243C)%20pH%204.3-11.5%2030'%20re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10%20nM%20MMP-1(S243C)%20pH%204.3-11.5%2030'%20green/20171104%20800%20nM%20col%2010%20nM%20MMP-1(S243C)%20pH%204.3-11.5%2030'%20green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10%20nM%20MMP-1(S243C)%20pH%204.3-11.5%2030'%20blue/20171104%20800%20nM%20col%2010%20nM%20MMP-1(S243C)%20pH%204.3-11.5%2030'%20blu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10%20nM%20MMP-1(S318C)%20pH%204.3-11.5%2030'%20red/20171104%20800%20nM%20col%2010%20nM%20MMP-1(S318C)%20pH%204.3-11.5%2030'%20red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10%20nM%20MMP-1(S318C)%20pH%204.3-11.5%2030'%20green/20171104%20800%20nM%20col%2010%20nM%20MMP-1(S318C)%20pH%204.3-11.5%2030'%20green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10%20nM%20MMP-1(S318C)%20pH%204.3-11.5%2030'%20blue/20171104%20800%20nM%20col%2010%20nM%20MMP-1(S318C)%20pH%204.3-11.5%2030'%20blue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20%20nM%20MMP-1(DS)%20pH%204.3-11.5%2030'%20red/20171104%20800%20nM%20col%2020%20nM%20MMP-1(DS)%20pH%204.3-11.5%2030'%20red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20%20nM%20MMP-1(DS)%20pH%204.3-11.5%2030'%20green/20171104%20800%20nM%20col%2020%20nM%20MMP-1(DS)%20pH%204.3-11.5%2030'%20green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Research/Lab%20Notes%20&amp;%20Protocols/2017/11%20November%20-%20col%20pH%20titrations/20171104%20800%20nM%20col%2020%20nM%20MMP-1(DS)%20pH%204.3-11.5%2030'%20blue/20171104%20800%20nM%20col%2020%20nM%20MMP-1(DS)%20pH%204.3-11.5%2030'%20blu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5">
          <cell r="C5">
            <v>0</v>
          </cell>
          <cell r="D5">
            <v>3.475631136495487E-2</v>
          </cell>
          <cell r="E5">
            <v>0.12640624675071799</v>
          </cell>
          <cell r="F5">
            <v>0.21795034308743333</v>
          </cell>
          <cell r="G5">
            <v>0.21470391063459104</v>
          </cell>
          <cell r="H5">
            <v>0.24788439968499756</v>
          </cell>
          <cell r="I5">
            <v>0.26848264408892042</v>
          </cell>
          <cell r="J5">
            <v>0.25346410818374904</v>
          </cell>
          <cell r="K5">
            <v>0.24052524461135064</v>
          </cell>
          <cell r="L5">
            <v>0.1843002535512113</v>
          </cell>
          <cell r="M5">
            <v>0.15810096297020323</v>
          </cell>
          <cell r="N5">
            <v>0.11126445433732975</v>
          </cell>
          <cell r="O5">
            <v>8.2357047393375821E-2</v>
          </cell>
          <cell r="P5">
            <v>2.2329841718323876E-2</v>
          </cell>
          <cell r="Q5">
            <v>0</v>
          </cell>
        </row>
      </sheetData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5">
          <cell r="C5">
            <v>0</v>
          </cell>
          <cell r="D5">
            <v>2.1979246693425557E-2</v>
          </cell>
          <cell r="E5">
            <v>0.10071043241855909</v>
          </cell>
          <cell r="F5">
            <v>0.18580703119124822</v>
          </cell>
          <cell r="G5">
            <v>0.21703985847075324</v>
          </cell>
          <cell r="H5">
            <v>0.21124362392263266</v>
          </cell>
          <cell r="I5">
            <v>0.22489017544796491</v>
          </cell>
          <cell r="J5">
            <v>0.22845544449485208</v>
          </cell>
          <cell r="K5">
            <v>0.19695399443353173</v>
          </cell>
          <cell r="L5">
            <v>0.15984699306990463</v>
          </cell>
          <cell r="M5">
            <v>0.12024781857004224</v>
          </cell>
          <cell r="N5">
            <v>9.8262912471004674E-2</v>
          </cell>
          <cell r="O5">
            <v>4.3093062063408599E-2</v>
          </cell>
          <cell r="P5">
            <v>0</v>
          </cell>
          <cell r="Q5">
            <v>0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5">
          <cell r="C5">
            <v>0</v>
          </cell>
          <cell r="D5">
            <v>2.1553076929831149E-3</v>
          </cell>
          <cell r="E5">
            <v>0.10449266138423188</v>
          </cell>
          <cell r="F5">
            <v>0.17799641857340665</v>
          </cell>
          <cell r="G5">
            <v>0.20817639677117677</v>
          </cell>
          <cell r="H5">
            <v>0.21564309921637792</v>
          </cell>
          <cell r="I5">
            <v>0.21785662459073679</v>
          </cell>
          <cell r="J5">
            <v>0.20760621530651216</v>
          </cell>
          <cell r="K5">
            <v>0.18599061410751261</v>
          </cell>
          <cell r="L5">
            <v>0.14100241142389847</v>
          </cell>
          <cell r="M5">
            <v>0.13498386928831188</v>
          </cell>
          <cell r="N5">
            <v>8.9132281741156755E-2</v>
          </cell>
          <cell r="O5">
            <v>3.9521061286620029E-2</v>
          </cell>
          <cell r="P5">
            <v>0</v>
          </cell>
          <cell r="Q5">
            <v>0</v>
          </cell>
        </row>
      </sheetData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7">
          <cell r="C7">
            <v>6.8976024553589174E-6</v>
          </cell>
          <cell r="D7">
            <v>3.8085743912813344E-2</v>
          </cell>
          <cell r="E7">
            <v>0.10738629915730658</v>
          </cell>
          <cell r="F7">
            <v>0.19885213890687989</v>
          </cell>
          <cell r="G7">
            <v>0.23171354230766847</v>
          </cell>
          <cell r="H7">
            <v>0.23081154301970278</v>
          </cell>
          <cell r="I7">
            <v>0.24591751683901641</v>
          </cell>
          <cell r="J7">
            <v>0.24672442457447005</v>
          </cell>
          <cell r="K7">
            <v>0.22269965591468921</v>
          </cell>
          <cell r="L7">
            <v>0.16633998582613085</v>
          </cell>
          <cell r="M7">
            <v>0.1239543127074576</v>
          </cell>
          <cell r="N7">
            <v>7.9165477022493616E-2</v>
          </cell>
          <cell r="O7">
            <v>4.1612365910870863E-2</v>
          </cell>
          <cell r="P7">
            <v>2.4697642846739389E-2</v>
          </cell>
          <cell r="Q7">
            <v>1.3704335714149548E-2</v>
          </cell>
        </row>
      </sheetData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5">
          <cell r="C5">
            <v>0</v>
          </cell>
          <cell r="D5">
            <v>1.6275081376177218E-2</v>
          </cell>
          <cell r="E5">
            <v>9.7979782678146637E-2</v>
          </cell>
          <cell r="F5">
            <v>0.17385426808545845</v>
          </cell>
          <cell r="G5">
            <v>0.19408753350347216</v>
          </cell>
          <cell r="H5">
            <v>0.21101133125028504</v>
          </cell>
          <cell r="I5">
            <v>0.2245091847383594</v>
          </cell>
          <cell r="J5">
            <v>0.22170895877819044</v>
          </cell>
          <cell r="K5">
            <v>0.19097528506100225</v>
          </cell>
          <cell r="L5">
            <v>0.13997634757080454</v>
          </cell>
          <cell r="M5">
            <v>0.10952680921852441</v>
          </cell>
          <cell r="N5">
            <v>6.2127742835769911E-2</v>
          </cell>
          <cell r="O5">
            <v>3.9562133208671295E-2</v>
          </cell>
          <cell r="P5">
            <v>1.4448314732119495E-6</v>
          </cell>
          <cell r="Q5">
            <v>0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5">
          <cell r="C5">
            <v>0</v>
          </cell>
          <cell r="D5">
            <v>2.2794570794321137E-2</v>
          </cell>
          <cell r="E5">
            <v>9.0790129978876685E-2</v>
          </cell>
          <cell r="F5">
            <v>0.17041825596560339</v>
          </cell>
          <cell r="G5">
            <v>0.20595575940389271</v>
          </cell>
          <cell r="H5">
            <v>0.20844076209432708</v>
          </cell>
          <cell r="I5">
            <v>0.21536899191714456</v>
          </cell>
          <cell r="J5">
            <v>0.20178198809904424</v>
          </cell>
          <cell r="K5">
            <v>0.17558626036926619</v>
          </cell>
          <cell r="L5">
            <v>0.13299705516584628</v>
          </cell>
          <cell r="M5">
            <v>9.1900049259636379E-2</v>
          </cell>
          <cell r="N5">
            <v>6.3000131127099165E-2</v>
          </cell>
          <cell r="O5">
            <v>1.9189177728797305E-2</v>
          </cell>
          <cell r="P5">
            <v>0</v>
          </cell>
          <cell r="Q5">
            <v>6.095047436963668E-8</v>
          </cell>
        </row>
      </sheetData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7">
          <cell r="C7">
            <v>3.485329687364648E-3</v>
          </cell>
          <cell r="D7">
            <v>2.5190054772250156E-2</v>
          </cell>
          <cell r="E7">
            <v>8.6353520509197937E-2</v>
          </cell>
          <cell r="F7">
            <v>0.15481641033754892</v>
          </cell>
          <cell r="G7">
            <v>0.19072159915995299</v>
          </cell>
          <cell r="H7">
            <v>0.19947842638456767</v>
          </cell>
          <cell r="I7">
            <v>0.21138567548201273</v>
          </cell>
          <cell r="J7">
            <v>0.21982782043723434</v>
          </cell>
          <cell r="K7">
            <v>0.18512094330317985</v>
          </cell>
          <cell r="L7">
            <v>0.1222974779899947</v>
          </cell>
          <cell r="M7">
            <v>8.9867714668246182E-2</v>
          </cell>
          <cell r="N7">
            <v>5.6957281178595609E-2</v>
          </cell>
          <cell r="O7">
            <v>4.0222281735646272E-2</v>
          </cell>
          <cell r="P7">
            <v>1.9220317668360482E-2</v>
          </cell>
          <cell r="Q7">
            <v>6.6618749744951225E-3</v>
          </cell>
        </row>
      </sheetData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  <sheetName val="C quad baseline"/>
    </sheetNames>
    <sheetDataSet>
      <sheetData sheetId="0"/>
      <sheetData sheetId="1"/>
      <sheetData sheetId="2"/>
      <sheetData sheetId="3"/>
      <sheetData sheetId="4">
        <row r="7">
          <cell r="C7">
            <v>3.6466079703423647E-3</v>
          </cell>
          <cell r="D7">
            <v>1.9417206492944355E-2</v>
          </cell>
          <cell r="E7">
            <v>8.9330438156391426E-2</v>
          </cell>
          <cell r="F7">
            <v>0.1498721336930573</v>
          </cell>
          <cell r="G7">
            <v>0.19098603760277288</v>
          </cell>
          <cell r="H7">
            <v>0.2040132838998624</v>
          </cell>
          <cell r="I7">
            <v>0.2135240917418868</v>
          </cell>
          <cell r="J7">
            <v>0.20424169000477765</v>
          </cell>
          <cell r="K7">
            <v>0.15720922291147174</v>
          </cell>
          <cell r="L7">
            <v>0.10672389414596184</v>
          </cell>
          <cell r="M7">
            <v>7.2989856683338114E-2</v>
          </cell>
          <cell r="N7">
            <v>5.2363058250827571E-2</v>
          </cell>
          <cell r="O7">
            <v>2.7759677363202936E-2</v>
          </cell>
          <cell r="P7">
            <v>1.204531769344927E-2</v>
          </cell>
          <cell r="Q7">
            <v>0</v>
          </cell>
        </row>
      </sheetData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7">
          <cell r="C7">
            <v>0</v>
          </cell>
          <cell r="D7">
            <v>1.3683943929618747E-2</v>
          </cell>
          <cell r="E7">
            <v>7.297051313116229E-2</v>
          </cell>
          <cell r="F7">
            <v>0.14222317585630551</v>
          </cell>
          <cell r="G7">
            <v>0.16818881805385552</v>
          </cell>
          <cell r="H7">
            <v>0.18211013957440211</v>
          </cell>
          <cell r="I7">
            <v>0.19957482993250916</v>
          </cell>
          <cell r="J7">
            <v>0.19148009104185218</v>
          </cell>
          <cell r="K7">
            <v>0.15718734872342363</v>
          </cell>
          <cell r="L7">
            <v>0.11083006948361525</v>
          </cell>
          <cell r="M7">
            <v>7.7071611002995144E-2</v>
          </cell>
          <cell r="N7">
            <v>4.8575255351119617E-2</v>
          </cell>
          <cell r="O7">
            <v>2.1765826710292199E-2</v>
          </cell>
          <cell r="P7">
            <v>1.7129570434800889E-3</v>
          </cell>
          <cell r="Q7">
            <v>0</v>
          </cell>
        </row>
      </sheetData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7">
          <cell r="C7">
            <v>3.1754932665480043E-3</v>
          </cell>
          <cell r="D7">
            <v>2.7563269805978119E-2</v>
          </cell>
          <cell r="E7">
            <v>8.9801473266072018E-2</v>
          </cell>
          <cell r="F7">
            <v>0.17111822144866198</v>
          </cell>
          <cell r="G7">
            <v>0.21538099175663036</v>
          </cell>
          <cell r="H7">
            <v>0.22874923110599132</v>
          </cell>
          <cell r="I7">
            <v>0.22790651233573997</v>
          </cell>
          <cell r="J7">
            <v>0.24495255450527434</v>
          </cell>
          <cell r="K7">
            <v>0.24577533299840013</v>
          </cell>
          <cell r="L7">
            <v>0.19683867812646985</v>
          </cell>
          <cell r="M7">
            <v>0.15344115746117834</v>
          </cell>
          <cell r="N7">
            <v>0.10961861231604857</v>
          </cell>
          <cell r="O7">
            <v>7.166958992683449E-2</v>
          </cell>
          <cell r="P7">
            <v>3.7669489839640774E-2</v>
          </cell>
          <cell r="Q7">
            <v>9.0231359249396126E-3</v>
          </cell>
        </row>
      </sheetData>
      <sheetData sheetId="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7">
          <cell r="C7">
            <v>0</v>
          </cell>
          <cell r="D7">
            <v>2.4980610034714693E-2</v>
          </cell>
          <cell r="E7">
            <v>8.1092562279239375E-2</v>
          </cell>
          <cell r="F7">
            <v>0.15866876207707484</v>
          </cell>
          <cell r="G7">
            <v>0.18755424186554803</v>
          </cell>
          <cell r="H7">
            <v>0.19182301289015694</v>
          </cell>
          <cell r="I7">
            <v>0.20836498538286582</v>
          </cell>
          <cell r="J7">
            <v>0.21356431308337512</v>
          </cell>
          <cell r="K7">
            <v>0.20849884899148183</v>
          </cell>
          <cell r="L7">
            <v>0.16843939405436018</v>
          </cell>
          <cell r="M7">
            <v>0.11425179122456375</v>
          </cell>
          <cell r="N7">
            <v>8.5300943930665896E-2</v>
          </cell>
          <cell r="O7">
            <v>4.1190164727439554E-2</v>
          </cell>
          <cell r="P7">
            <v>2.2369025844665727E-2</v>
          </cell>
          <cell r="Q7">
            <v>1.3397776334711618E-2</v>
          </cell>
        </row>
      </sheetData>
      <sheetData sheetId="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a1(I)"/>
      <sheetName val="a2(I)"/>
    </sheetNames>
    <sheetDataSet>
      <sheetData sheetId="0"/>
      <sheetData sheetId="1"/>
      <sheetData sheetId="2"/>
      <sheetData sheetId="3"/>
      <sheetData sheetId="4">
        <row r="7">
          <cell r="C7">
            <v>0</v>
          </cell>
          <cell r="D7">
            <v>1.8211678471558398E-2</v>
          </cell>
          <cell r="E7">
            <v>7.5652122808263347E-2</v>
          </cell>
          <cell r="F7">
            <v>0.15108326115673912</v>
          </cell>
          <cell r="G7">
            <v>0.18094742013738593</v>
          </cell>
          <cell r="H7">
            <v>0.20455587605538747</v>
          </cell>
          <cell r="I7">
            <v>0.20791540617139184</v>
          </cell>
          <cell r="J7">
            <v>0.21593422405953391</v>
          </cell>
          <cell r="K7">
            <v>0.2094335427683939</v>
          </cell>
          <cell r="L7">
            <v>0.16379151584689822</v>
          </cell>
          <cell r="M7">
            <v>0.12966399111646829</v>
          </cell>
          <cell r="N7">
            <v>7.9323710157152075E-2</v>
          </cell>
          <cell r="O7">
            <v>4.0583491261189271E-2</v>
          </cell>
          <cell r="P7">
            <v>1.124968978729439E-2</v>
          </cell>
          <cell r="Q7">
            <v>3.0105389936606803E-3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H67"/>
  <sheetViews>
    <sheetView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5" x14ac:dyDescent="0.25"/>
  <cols>
    <col min="1" max="1" width="9.140625" style="1"/>
    <col min="2" max="2" width="9.140625" style="2"/>
    <col min="3" max="11" width="9.28515625" style="1" bestFit="1" customWidth="1"/>
    <col min="12" max="15" width="9.28515625" style="1" customWidth="1"/>
    <col min="16" max="16" width="9.28515625" style="1" bestFit="1" customWidth="1"/>
    <col min="17" max="17" width="9.28515625" style="1" customWidth="1"/>
    <col min="18" max="20" width="9.140625" style="1"/>
    <col min="21" max="21" width="9.140625" style="39"/>
    <col min="22" max="40" width="9.140625" style="1"/>
    <col min="41" max="41" width="9.28515625" style="1" customWidth="1"/>
    <col min="42" max="56" width="9.140625" style="1"/>
    <col min="57" max="57" width="9.140625" style="1" customWidth="1"/>
    <col min="58" max="16384" width="9.140625" style="1"/>
  </cols>
  <sheetData>
    <row r="1" spans="1:138" ht="15.75" thickBot="1" x14ac:dyDescent="0.3">
      <c r="B1" s="32"/>
      <c r="C1" s="106" t="s">
        <v>15</v>
      </c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2"/>
      <c r="Y1" s="106" t="s">
        <v>11</v>
      </c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O1" s="106" t="s">
        <v>12</v>
      </c>
      <c r="AP1" s="106"/>
      <c r="AQ1" s="106"/>
      <c r="AR1" s="106"/>
      <c r="AS1" s="106"/>
      <c r="AT1" s="106"/>
      <c r="AU1" s="106"/>
      <c r="AV1" s="106"/>
      <c r="AW1" s="106"/>
      <c r="AX1" s="106"/>
      <c r="AY1" s="106"/>
      <c r="AZ1" s="106"/>
      <c r="BA1" s="106"/>
      <c r="BB1" s="106"/>
      <c r="BC1" s="106"/>
    </row>
    <row r="2" spans="1:138" ht="15.75" thickBot="1" x14ac:dyDescent="0.3">
      <c r="A2" s="31"/>
      <c r="B2" s="22"/>
      <c r="C2" s="89" t="s">
        <v>6</v>
      </c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S2" s="2"/>
      <c r="Y2" s="89" t="s">
        <v>6</v>
      </c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1"/>
      <c r="AO2" s="89" t="s">
        <v>6</v>
      </c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A2" s="90"/>
      <c r="BB2" s="90"/>
      <c r="BC2" s="91"/>
      <c r="BE2" s="89" t="s">
        <v>6</v>
      </c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0"/>
      <c r="CC2" s="90"/>
      <c r="CD2" s="90"/>
      <c r="CE2" s="90"/>
      <c r="CF2" s="90"/>
      <c r="CG2" s="90"/>
      <c r="CH2" s="90"/>
      <c r="CI2" s="90"/>
      <c r="CJ2" s="90"/>
      <c r="CK2" s="90"/>
      <c r="CL2" s="90"/>
      <c r="CM2" s="90"/>
      <c r="CN2" s="90"/>
      <c r="CO2" s="90"/>
      <c r="CP2" s="90"/>
      <c r="CQ2" s="90"/>
      <c r="CR2" s="90"/>
      <c r="CS2" s="90"/>
      <c r="CT2" s="90"/>
      <c r="CU2" s="90"/>
      <c r="CV2" s="90"/>
      <c r="CW2" s="90"/>
      <c r="CX2" s="90"/>
      <c r="CY2" s="90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90"/>
      <c r="DL2" s="90"/>
      <c r="DM2" s="90"/>
      <c r="DN2" s="90"/>
      <c r="DO2" s="90"/>
      <c r="DP2" s="90"/>
      <c r="DQ2" s="90"/>
      <c r="DR2" s="90"/>
      <c r="DS2" s="90"/>
      <c r="DT2" s="90"/>
      <c r="DU2" s="90"/>
      <c r="DV2" s="90"/>
      <c r="DW2" s="90"/>
      <c r="DX2" s="90"/>
      <c r="DY2" s="90"/>
      <c r="DZ2" s="90"/>
      <c r="EA2" s="90"/>
      <c r="EB2" s="90"/>
      <c r="EC2" s="90"/>
      <c r="ED2" s="90"/>
      <c r="EE2" s="90"/>
      <c r="EF2" s="90"/>
      <c r="EG2" s="91"/>
    </row>
    <row r="3" spans="1:138" ht="15.75" thickBot="1" x14ac:dyDescent="0.3">
      <c r="B3" s="5" t="s">
        <v>31</v>
      </c>
      <c r="C3" s="17">
        <v>4.26</v>
      </c>
      <c r="D3" s="18">
        <v>4.66</v>
      </c>
      <c r="E3" s="18">
        <v>5.15</v>
      </c>
      <c r="F3" s="18">
        <v>6.05</v>
      </c>
      <c r="G3" s="18">
        <v>6.67</v>
      </c>
      <c r="H3" s="18">
        <v>7.08</v>
      </c>
      <c r="I3" s="18">
        <v>7.51</v>
      </c>
      <c r="J3" s="18">
        <v>8.09</v>
      </c>
      <c r="K3" s="18">
        <v>8.76</v>
      </c>
      <c r="L3" s="18">
        <v>9.2100000000000009</v>
      </c>
      <c r="M3" s="18">
        <v>9.6</v>
      </c>
      <c r="N3" s="18">
        <v>10.08</v>
      </c>
      <c r="O3" s="18">
        <v>10.58</v>
      </c>
      <c r="P3" s="18">
        <v>11.06</v>
      </c>
      <c r="Q3" s="19">
        <v>11.46</v>
      </c>
      <c r="S3" s="41" t="s">
        <v>13</v>
      </c>
      <c r="T3" s="48" t="s">
        <v>14</v>
      </c>
      <c r="U3" s="5" t="s">
        <v>17</v>
      </c>
      <c r="W3" s="5" t="s">
        <v>16</v>
      </c>
      <c r="Y3" s="17">
        <v>4.26</v>
      </c>
      <c r="Z3" s="18">
        <v>4.66</v>
      </c>
      <c r="AA3" s="18">
        <v>5.15</v>
      </c>
      <c r="AB3" s="18">
        <v>6.05</v>
      </c>
      <c r="AC3" s="18">
        <v>6.67</v>
      </c>
      <c r="AD3" s="18">
        <v>7.08</v>
      </c>
      <c r="AE3" s="18">
        <v>7.51</v>
      </c>
      <c r="AF3" s="18">
        <v>8.09</v>
      </c>
      <c r="AG3" s="18">
        <v>8.76</v>
      </c>
      <c r="AH3" s="18">
        <v>9.2100000000000009</v>
      </c>
      <c r="AI3" s="18">
        <v>9.6</v>
      </c>
      <c r="AJ3" s="18">
        <v>10.08</v>
      </c>
      <c r="AK3" s="18">
        <v>10.58</v>
      </c>
      <c r="AL3" s="18">
        <v>11.06</v>
      </c>
      <c r="AM3" s="19">
        <v>11.46</v>
      </c>
      <c r="AO3" s="17">
        <v>4.26</v>
      </c>
      <c r="AP3" s="18">
        <v>4.66</v>
      </c>
      <c r="AQ3" s="18">
        <v>5.15</v>
      </c>
      <c r="AR3" s="18">
        <v>6.05</v>
      </c>
      <c r="AS3" s="18">
        <v>6.67</v>
      </c>
      <c r="AT3" s="18">
        <v>7.08</v>
      </c>
      <c r="AU3" s="18">
        <v>7.51</v>
      </c>
      <c r="AV3" s="18">
        <v>8.09</v>
      </c>
      <c r="AW3" s="18">
        <v>8.76</v>
      </c>
      <c r="AX3" s="18">
        <v>9.2100000000000009</v>
      </c>
      <c r="AY3" s="18">
        <v>9.6</v>
      </c>
      <c r="AZ3" s="18">
        <v>10.08</v>
      </c>
      <c r="BA3" s="18">
        <v>10.58</v>
      </c>
      <c r="BB3" s="18">
        <v>11.06</v>
      </c>
      <c r="BC3" s="19">
        <v>11.46</v>
      </c>
      <c r="BE3" s="85">
        <v>4</v>
      </c>
      <c r="BF3" s="86">
        <v>4.0999999999999996</v>
      </c>
      <c r="BG3" s="86">
        <v>4.2</v>
      </c>
      <c r="BH3" s="86">
        <v>4.3</v>
      </c>
      <c r="BI3" s="86">
        <v>4.4000000000000004</v>
      </c>
      <c r="BJ3" s="86">
        <v>4.5</v>
      </c>
      <c r="BK3" s="86">
        <v>4.5999999999999996</v>
      </c>
      <c r="BL3" s="86">
        <v>4.7</v>
      </c>
      <c r="BM3" s="86">
        <v>4.8</v>
      </c>
      <c r="BN3" s="86">
        <v>4.9000000000000004</v>
      </c>
      <c r="BO3" s="86">
        <v>5</v>
      </c>
      <c r="BP3" s="86">
        <v>5.0999999999999996</v>
      </c>
      <c r="BQ3" s="86">
        <v>5.2</v>
      </c>
      <c r="BR3" s="86">
        <v>5.3</v>
      </c>
      <c r="BS3" s="86">
        <v>5.4</v>
      </c>
      <c r="BT3" s="86">
        <v>5.4999999999999902</v>
      </c>
      <c r="BU3" s="86">
        <v>5.5999999999999899</v>
      </c>
      <c r="BV3" s="86">
        <v>5.6999999999999904</v>
      </c>
      <c r="BW3" s="86">
        <v>5.7999999999999901</v>
      </c>
      <c r="BX3" s="86">
        <v>5.8999999999999897</v>
      </c>
      <c r="BY3" s="86">
        <v>5.9999999999999902</v>
      </c>
      <c r="BZ3" s="86">
        <v>6.0999999999999899</v>
      </c>
      <c r="CA3" s="86">
        <v>6.1999999999999904</v>
      </c>
      <c r="CB3" s="86">
        <v>6.2999999999999901</v>
      </c>
      <c r="CC3" s="86">
        <v>6.3999999999999897</v>
      </c>
      <c r="CD3" s="86">
        <v>6.4999999999999902</v>
      </c>
      <c r="CE3" s="86">
        <v>6.5999999999999899</v>
      </c>
      <c r="CF3" s="86">
        <v>6.6999999999999904</v>
      </c>
      <c r="CG3" s="86">
        <v>6.7999999999999901</v>
      </c>
      <c r="CH3" s="86">
        <v>6.8999999999999897</v>
      </c>
      <c r="CI3" s="86">
        <v>6.9999999999999902</v>
      </c>
      <c r="CJ3" s="86">
        <v>7.0999999999999899</v>
      </c>
      <c r="CK3" s="86">
        <v>7.1999999999999904</v>
      </c>
      <c r="CL3" s="86">
        <v>7.2999999999999901</v>
      </c>
      <c r="CM3" s="86">
        <v>7.3999999999999897</v>
      </c>
      <c r="CN3" s="86">
        <v>7.4999999999999902</v>
      </c>
      <c r="CO3" s="86">
        <v>7.5999999999999899</v>
      </c>
      <c r="CP3" s="86">
        <v>7.6999999999999904</v>
      </c>
      <c r="CQ3" s="86">
        <v>7.7999999999999901</v>
      </c>
      <c r="CR3" s="86">
        <v>7.8999999999999897</v>
      </c>
      <c r="CS3" s="86">
        <v>7.9999999999999902</v>
      </c>
      <c r="CT3" s="86">
        <v>8.0999999999999908</v>
      </c>
      <c r="CU3" s="86">
        <v>8.1999999999999904</v>
      </c>
      <c r="CV3" s="86">
        <v>8.2999999999999794</v>
      </c>
      <c r="CW3" s="86">
        <v>8.3999999999999808</v>
      </c>
      <c r="CX3" s="86">
        <v>8.4999999999999805</v>
      </c>
      <c r="CY3" s="86">
        <v>8.5999999999999801</v>
      </c>
      <c r="CZ3" s="86">
        <v>8.6999999999999797</v>
      </c>
      <c r="DA3" s="86">
        <v>8.7999999999999794</v>
      </c>
      <c r="DB3" s="86">
        <v>8.8999999999999808</v>
      </c>
      <c r="DC3" s="86">
        <v>8.9999999999999805</v>
      </c>
      <c r="DD3" s="86">
        <v>9.0999999999999801</v>
      </c>
      <c r="DE3" s="86">
        <v>9.1999999999999797</v>
      </c>
      <c r="DF3" s="86">
        <v>9.2999999999999794</v>
      </c>
      <c r="DG3" s="86">
        <v>9.3999999999999808</v>
      </c>
      <c r="DH3" s="86">
        <v>9.4999999999999805</v>
      </c>
      <c r="DI3" s="86">
        <v>9.5999999999999801</v>
      </c>
      <c r="DJ3" s="86">
        <v>9.6999999999999797</v>
      </c>
      <c r="DK3" s="86">
        <v>9.7999999999999794</v>
      </c>
      <c r="DL3" s="86">
        <v>9.8999999999999808</v>
      </c>
      <c r="DM3" s="86">
        <v>9.9999999999999805</v>
      </c>
      <c r="DN3" s="86">
        <v>10.1</v>
      </c>
      <c r="DO3" s="86">
        <v>10.199999999999999</v>
      </c>
      <c r="DP3" s="86">
        <v>10.3</v>
      </c>
      <c r="DQ3" s="86">
        <v>10.4</v>
      </c>
      <c r="DR3" s="86">
        <v>10.5</v>
      </c>
      <c r="DS3" s="86">
        <v>10.6</v>
      </c>
      <c r="DT3" s="86">
        <v>10.7</v>
      </c>
      <c r="DU3" s="86">
        <v>10.8</v>
      </c>
      <c r="DV3" s="86">
        <v>10.9</v>
      </c>
      <c r="DW3" s="86">
        <v>11</v>
      </c>
      <c r="DX3" s="86">
        <v>11.1</v>
      </c>
      <c r="DY3" s="86">
        <v>11.2</v>
      </c>
      <c r="DZ3" s="86">
        <v>11.3</v>
      </c>
      <c r="EA3" s="86">
        <v>11.4</v>
      </c>
      <c r="EB3" s="86">
        <v>11.5</v>
      </c>
      <c r="EC3" s="86">
        <v>11.6</v>
      </c>
      <c r="ED3" s="86">
        <v>11.7</v>
      </c>
      <c r="EE3" s="86">
        <v>11.8</v>
      </c>
      <c r="EF3" s="86">
        <v>11.9</v>
      </c>
      <c r="EG3" s="87">
        <v>12</v>
      </c>
      <c r="EH3" s="2" t="s">
        <v>30</v>
      </c>
    </row>
    <row r="4" spans="1:138" ht="15.75" thickBot="1" x14ac:dyDescent="0.3">
      <c r="B4" s="29"/>
      <c r="C4" s="30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16"/>
      <c r="S4" s="29"/>
    </row>
    <row r="5" spans="1:138" x14ac:dyDescent="0.25">
      <c r="A5" s="94" t="s">
        <v>5</v>
      </c>
      <c r="B5" s="7" t="s">
        <v>0</v>
      </c>
      <c r="C5" s="23">
        <f>'[1]a1(I)'!C$5</f>
        <v>0</v>
      </c>
      <c r="D5" s="24">
        <f>'[1]a1(I)'!D$5</f>
        <v>3.475631136495487E-2</v>
      </c>
      <c r="E5" s="24">
        <f>'[1]a1(I)'!E$5</f>
        <v>0.12640624675071799</v>
      </c>
      <c r="F5" s="24">
        <f>'[1]a1(I)'!F$5</f>
        <v>0.21795034308743333</v>
      </c>
      <c r="G5" s="24">
        <f>'[1]a1(I)'!G$5</f>
        <v>0.21470391063459104</v>
      </c>
      <c r="H5" s="24">
        <f>'[1]a1(I)'!H$5</f>
        <v>0.24788439968499756</v>
      </c>
      <c r="I5" s="24">
        <f>'[1]a1(I)'!I$5</f>
        <v>0.26848264408892042</v>
      </c>
      <c r="J5" s="24">
        <f>'[1]a1(I)'!J$5</f>
        <v>0.25346410818374904</v>
      </c>
      <c r="K5" s="24">
        <f>'[1]a1(I)'!K$5</f>
        <v>0.24052524461135064</v>
      </c>
      <c r="L5" s="24">
        <f>'[1]a1(I)'!L$5</f>
        <v>0.1843002535512113</v>
      </c>
      <c r="M5" s="24">
        <f>'[1]a1(I)'!M$5</f>
        <v>0.15810096297020323</v>
      </c>
      <c r="N5" s="24">
        <f>'[1]a1(I)'!N$5</f>
        <v>0.11126445433732975</v>
      </c>
      <c r="O5" s="24">
        <f>'[1]a1(I)'!O$5</f>
        <v>8.2357047393375821E-2</v>
      </c>
      <c r="P5" s="24">
        <f>'[1]a1(I)'!P$5</f>
        <v>2.2329841718323876E-2</v>
      </c>
      <c r="Q5" s="25">
        <f>'[1]a1(I)'!Q$5</f>
        <v>0</v>
      </c>
      <c r="R5" s="40"/>
      <c r="S5" s="42">
        <v>5.2591038687727707</v>
      </c>
      <c r="T5" s="45">
        <v>9.9689500583958797</v>
      </c>
      <c r="U5" s="54">
        <v>0.24795243941302006</v>
      </c>
      <c r="W5" s="54">
        <f>SQRT(SUMSQ(AO5:BC5))</f>
        <v>6.7013742160827117E-2</v>
      </c>
      <c r="Y5" s="23">
        <f>$U5 * (POWER(10, C$3-$S5)/(1 + POWER(10, C$3-$S5))) * (1 - POWER(10, C$3-$T5)/(1 + POWER(10, C$3-$T5)))</f>
        <v>2.2583405862933767E-2</v>
      </c>
      <c r="Z5" s="24">
        <f t="shared" ref="Z5:AM7" si="0">$U5 * (POWER(10, D$3-$S5)/(1 + POWER(10, D$3-$S5))) * (1 - POWER(10, D$3-$T5)/(1 + POWER(10, D$3-$T5)))</f>
        <v>4.9860833589872575E-2</v>
      </c>
      <c r="AA5" s="24">
        <f t="shared" si="0"/>
        <v>0.10848325084281844</v>
      </c>
      <c r="AB5" s="24">
        <f t="shared" si="0"/>
        <v>0.21338663596692595</v>
      </c>
      <c r="AC5" s="24">
        <f t="shared" si="0"/>
        <v>0.2385657762993523</v>
      </c>
      <c r="AD5" s="24">
        <f t="shared" si="0"/>
        <v>0.24394796364965515</v>
      </c>
      <c r="AE5" s="24">
        <f t="shared" si="0"/>
        <v>0.24571469397397216</v>
      </c>
      <c r="AF5" s="24">
        <f t="shared" si="0"/>
        <v>0.2443579243952626</v>
      </c>
      <c r="AG5" s="24">
        <f t="shared" si="0"/>
        <v>0.2334452573590613</v>
      </c>
      <c r="AH5" s="24">
        <f t="shared" si="0"/>
        <v>0.21114335502393439</v>
      </c>
      <c r="AI5" s="24">
        <f t="shared" si="0"/>
        <v>0.17367542432234762</v>
      </c>
      <c r="AJ5" s="24">
        <f t="shared" si="0"/>
        <v>0.10820990764162398</v>
      </c>
      <c r="AK5" s="24">
        <f t="shared" si="0"/>
        <v>4.8774128774257033E-2</v>
      </c>
      <c r="AL5" s="24">
        <f t="shared" si="0"/>
        <v>1.859761273205356E-2</v>
      </c>
      <c r="AM5" s="25">
        <f t="shared" si="0"/>
        <v>7.7538990076628875E-3</v>
      </c>
      <c r="AO5" s="23">
        <f t="shared" ref="AO5:BC7" si="1">Y5-C5</f>
        <v>2.2583405862933767E-2</v>
      </c>
      <c r="AP5" s="24">
        <f t="shared" si="1"/>
        <v>1.5104522224917705E-2</v>
      </c>
      <c r="AQ5" s="24">
        <f t="shared" si="1"/>
        <v>-1.7922995907899544E-2</v>
      </c>
      <c r="AR5" s="24">
        <f t="shared" si="1"/>
        <v>-4.563707120507382E-3</v>
      </c>
      <c r="AS5" s="24">
        <f t="shared" si="1"/>
        <v>2.3861865664761256E-2</v>
      </c>
      <c r="AT5" s="24">
        <f t="shared" si="1"/>
        <v>-3.936436035342411E-3</v>
      </c>
      <c r="AU5" s="24">
        <f t="shared" si="1"/>
        <v>-2.2767950114948254E-2</v>
      </c>
      <c r="AV5" s="24">
        <f t="shared" si="1"/>
        <v>-9.1061837884864327E-3</v>
      </c>
      <c r="AW5" s="24">
        <f t="shared" si="1"/>
        <v>-7.0799872522893381E-3</v>
      </c>
      <c r="AX5" s="24">
        <f t="shared" si="1"/>
        <v>2.6843101472723091E-2</v>
      </c>
      <c r="AY5" s="24">
        <f t="shared" si="1"/>
        <v>1.5574461352144381E-2</v>
      </c>
      <c r="AZ5" s="24">
        <f t="shared" si="1"/>
        <v>-3.0545466957057621E-3</v>
      </c>
      <c r="BA5" s="24">
        <f t="shared" si="1"/>
        <v>-3.3582918619118787E-2</v>
      </c>
      <c r="BB5" s="24">
        <f t="shared" si="1"/>
        <v>-3.732228986270316E-3</v>
      </c>
      <c r="BC5" s="25">
        <f t="shared" si="1"/>
        <v>7.7538990076628875E-3</v>
      </c>
    </row>
    <row r="6" spans="1:138" x14ac:dyDescent="0.25">
      <c r="A6" s="95"/>
      <c r="B6" s="6" t="s">
        <v>1</v>
      </c>
      <c r="C6" s="3">
        <f>'[2]a1(I)'!C$5</f>
        <v>0</v>
      </c>
      <c r="D6" s="4">
        <f>'[2]a1(I)'!D$5</f>
        <v>2.1979246693425557E-2</v>
      </c>
      <c r="E6" s="4">
        <f>'[2]a1(I)'!E$5</f>
        <v>0.10071043241855909</v>
      </c>
      <c r="F6" s="4">
        <f>'[2]a1(I)'!F$5</f>
        <v>0.18580703119124822</v>
      </c>
      <c r="G6" s="4">
        <f>'[2]a1(I)'!G$5</f>
        <v>0.21703985847075324</v>
      </c>
      <c r="H6" s="4">
        <f>'[2]a1(I)'!H$5</f>
        <v>0.21124362392263266</v>
      </c>
      <c r="I6" s="4">
        <f>'[2]a1(I)'!I$5</f>
        <v>0.22489017544796491</v>
      </c>
      <c r="J6" s="4">
        <f>'[2]a1(I)'!J$5</f>
        <v>0.22845544449485208</v>
      </c>
      <c r="K6" s="4">
        <f>'[2]a1(I)'!K$5</f>
        <v>0.19695399443353173</v>
      </c>
      <c r="L6" s="4">
        <f>'[2]a1(I)'!L$5</f>
        <v>0.15984699306990463</v>
      </c>
      <c r="M6" s="4">
        <f>'[2]a1(I)'!M$5</f>
        <v>0.12024781857004224</v>
      </c>
      <c r="N6" s="4">
        <f>'[2]a1(I)'!N$5</f>
        <v>9.8262912471004674E-2</v>
      </c>
      <c r="O6" s="4">
        <f>'[2]a1(I)'!O$5</f>
        <v>4.3093062063408599E-2</v>
      </c>
      <c r="P6" s="4">
        <f>'[2]a1(I)'!P$5</f>
        <v>0</v>
      </c>
      <c r="Q6" s="27">
        <f>'[2]a1(I)'!Q$5</f>
        <v>0</v>
      </c>
      <c r="R6" s="40"/>
      <c r="S6" s="43">
        <v>5.3421676976656398</v>
      </c>
      <c r="T6" s="46">
        <v>9.7848702651591495</v>
      </c>
      <c r="U6" s="55">
        <v>0.22195670823726768</v>
      </c>
      <c r="W6" s="55">
        <f t="shared" ref="W6:W7" si="2">SQRT(SUMSQ(AO6:BC6))</f>
        <v>4.7903391650237347E-2</v>
      </c>
      <c r="Y6" s="3">
        <f t="shared" ref="Y6:Y7" si="3">$U6 * (POWER(10, C$3-$S6)/(1 + POWER(10, C$3-$S6))) * (1 - POWER(10, C$3-$T6)/(1 + POWER(10, C$3-$T6)))</f>
        <v>1.6965480870713531E-2</v>
      </c>
      <c r="Z6" s="4">
        <f t="shared" si="0"/>
        <v>3.8200597635260604E-2</v>
      </c>
      <c r="AA6" s="4">
        <f t="shared" si="0"/>
        <v>8.6816266088761959E-2</v>
      </c>
      <c r="AB6" s="4">
        <f t="shared" si="0"/>
        <v>0.18555455369771245</v>
      </c>
      <c r="AC6" s="4">
        <f t="shared" si="0"/>
        <v>0.21182890719221859</v>
      </c>
      <c r="AD6" s="4">
        <f t="shared" si="0"/>
        <v>0.21754123951839183</v>
      </c>
      <c r="AE6" s="4">
        <f t="shared" si="0"/>
        <v>0.21929421926423226</v>
      </c>
      <c r="AF6" s="4">
        <f t="shared" si="0"/>
        <v>0.21717602244119083</v>
      </c>
      <c r="AG6" s="4">
        <f t="shared" si="0"/>
        <v>0.20272750419418323</v>
      </c>
      <c r="AH6" s="4">
        <f t="shared" si="0"/>
        <v>0.17527644490848757</v>
      </c>
      <c r="AI6" s="4">
        <f t="shared" si="0"/>
        <v>0.13424121574452941</v>
      </c>
      <c r="AJ6" s="4">
        <f t="shared" si="0"/>
        <v>7.465581921034721E-2</v>
      </c>
      <c r="AK6" s="4">
        <f t="shared" si="0"/>
        <v>3.0660164124661798E-2</v>
      </c>
      <c r="AL6" s="4">
        <f t="shared" si="0"/>
        <v>1.1186118116649407E-2</v>
      </c>
      <c r="AM6" s="27">
        <f t="shared" si="0"/>
        <v>4.5925910871394641E-3</v>
      </c>
      <c r="AO6" s="3">
        <f t="shared" si="1"/>
        <v>1.6965480870713531E-2</v>
      </c>
      <c r="AP6" s="4">
        <f t="shared" si="1"/>
        <v>1.6221350941835046E-2</v>
      </c>
      <c r="AQ6" s="4">
        <f t="shared" si="1"/>
        <v>-1.3894166329797134E-2</v>
      </c>
      <c r="AR6" s="4">
        <f t="shared" si="1"/>
        <v>-2.5247749353576876E-4</v>
      </c>
      <c r="AS6" s="4">
        <f t="shared" si="1"/>
        <v>-5.210951278534659E-3</v>
      </c>
      <c r="AT6" s="4">
        <f t="shared" si="1"/>
        <v>6.2976155957591706E-3</v>
      </c>
      <c r="AU6" s="4">
        <f t="shared" si="1"/>
        <v>-5.5959561837326532E-3</v>
      </c>
      <c r="AV6" s="4">
        <f t="shared" si="1"/>
        <v>-1.1279422053661253E-2</v>
      </c>
      <c r="AW6" s="4">
        <f t="shared" si="1"/>
        <v>5.7735097606514962E-3</v>
      </c>
      <c r="AX6" s="4">
        <f t="shared" si="1"/>
        <v>1.5429451838582936E-2</v>
      </c>
      <c r="AY6" s="4">
        <f t="shared" si="1"/>
        <v>1.3993397174487165E-2</v>
      </c>
      <c r="AZ6" s="4">
        <f t="shared" si="1"/>
        <v>-2.3607093260657463E-2</v>
      </c>
      <c r="BA6" s="4">
        <f t="shared" si="1"/>
        <v>-1.2432897938746801E-2</v>
      </c>
      <c r="BB6" s="4">
        <f t="shared" si="1"/>
        <v>1.1186118116649407E-2</v>
      </c>
      <c r="BC6" s="27">
        <f t="shared" si="1"/>
        <v>4.5925910871394641E-3</v>
      </c>
    </row>
    <row r="7" spans="1:138" ht="15.75" thickBot="1" x14ac:dyDescent="0.3">
      <c r="A7" s="95"/>
      <c r="B7" s="6" t="s">
        <v>2</v>
      </c>
      <c r="C7" s="3">
        <f>'[3]a1(I)'!C$5</f>
        <v>0</v>
      </c>
      <c r="D7" s="4">
        <f>'[3]a1(I)'!D$5</f>
        <v>2.1553076929831149E-3</v>
      </c>
      <c r="E7" s="4">
        <f>'[3]a1(I)'!E$5</f>
        <v>0.10449266138423188</v>
      </c>
      <c r="F7" s="4">
        <f>'[3]a1(I)'!F$5</f>
        <v>0.17799641857340665</v>
      </c>
      <c r="G7" s="4">
        <f>'[3]a1(I)'!G$5</f>
        <v>0.20817639677117677</v>
      </c>
      <c r="H7" s="4">
        <f>'[3]a1(I)'!H$5</f>
        <v>0.21564309921637792</v>
      </c>
      <c r="I7" s="4">
        <f>'[3]a1(I)'!I$5</f>
        <v>0.21785662459073679</v>
      </c>
      <c r="J7" s="4">
        <f>'[3]a1(I)'!J$5</f>
        <v>0.20760621530651216</v>
      </c>
      <c r="K7" s="4">
        <f>'[3]a1(I)'!K$5</f>
        <v>0.18599061410751261</v>
      </c>
      <c r="L7" s="4">
        <f>'[3]a1(I)'!L$5</f>
        <v>0.14100241142389847</v>
      </c>
      <c r="M7" s="4">
        <f>'[3]a1(I)'!M$5</f>
        <v>0.13498386928831188</v>
      </c>
      <c r="N7" s="4">
        <f>'[3]a1(I)'!N$5</f>
        <v>8.9132281741156755E-2</v>
      </c>
      <c r="O7" s="4">
        <f>'[3]a1(I)'!O$5</f>
        <v>3.9521061286620029E-2</v>
      </c>
      <c r="P7" s="4">
        <f>'[3]a1(I)'!P$5</f>
        <v>0</v>
      </c>
      <c r="Q7" s="27">
        <f>'[3]a1(I)'!Q$5</f>
        <v>0</v>
      </c>
      <c r="R7" s="40"/>
      <c r="S7" s="44">
        <v>5.3522427250991678</v>
      </c>
      <c r="T7" s="47">
        <v>9.7988473558420583</v>
      </c>
      <c r="U7" s="56">
        <v>0.21275653177713982</v>
      </c>
      <c r="W7" s="56">
        <f t="shared" si="2"/>
        <v>5.8444041186593403E-2</v>
      </c>
      <c r="Y7" s="12">
        <f t="shared" si="3"/>
        <v>1.5917238191685779E-2</v>
      </c>
      <c r="Z7" s="13">
        <f t="shared" si="0"/>
        <v>3.5919253455702627E-2</v>
      </c>
      <c r="AA7" s="13">
        <f t="shared" si="0"/>
        <v>8.2045370506069346E-2</v>
      </c>
      <c r="AB7" s="13">
        <f t="shared" si="0"/>
        <v>0.17718292673041364</v>
      </c>
      <c r="AC7" s="13">
        <f t="shared" si="0"/>
        <v>0.20283972666862504</v>
      </c>
      <c r="AD7" s="13">
        <f t="shared" si="0"/>
        <v>0.20844922782828462</v>
      </c>
      <c r="AE7" s="13">
        <f t="shared" si="0"/>
        <v>0.21020628139935771</v>
      </c>
      <c r="AF7" s="13">
        <f t="shared" si="0"/>
        <v>0.20829584565538667</v>
      </c>
      <c r="AG7" s="13">
        <f t="shared" si="0"/>
        <v>0.19485513625611495</v>
      </c>
      <c r="AH7" s="13">
        <f t="shared" si="0"/>
        <v>0.16913666111778133</v>
      </c>
      <c r="AI7" s="13">
        <f t="shared" si="0"/>
        <v>0.13030751805066446</v>
      </c>
      <c r="AJ7" s="13">
        <f t="shared" si="0"/>
        <v>7.3097663005360802E-2</v>
      </c>
      <c r="AK7" s="13">
        <f t="shared" si="0"/>
        <v>3.0214012215002663E-2</v>
      </c>
      <c r="AL7" s="13">
        <f t="shared" si="0"/>
        <v>1.1054925369844787E-2</v>
      </c>
      <c r="AM7" s="26">
        <f t="shared" si="0"/>
        <v>4.543135375800888E-3</v>
      </c>
      <c r="AO7" s="12">
        <f t="shared" si="1"/>
        <v>1.5917238191685779E-2</v>
      </c>
      <c r="AP7" s="13">
        <f t="shared" si="1"/>
        <v>3.3763945762719509E-2</v>
      </c>
      <c r="AQ7" s="13">
        <f t="shared" si="1"/>
        <v>-2.2447290878162537E-2</v>
      </c>
      <c r="AR7" s="13">
        <f t="shared" si="1"/>
        <v>-8.1349184299300825E-4</v>
      </c>
      <c r="AS7" s="13">
        <f t="shared" si="1"/>
        <v>-5.3366701025517327E-3</v>
      </c>
      <c r="AT7" s="13">
        <f t="shared" si="1"/>
        <v>-7.1938713880932981E-3</v>
      </c>
      <c r="AU7" s="13">
        <f t="shared" si="1"/>
        <v>-7.6503431913790831E-3</v>
      </c>
      <c r="AV7" s="13">
        <f t="shared" si="1"/>
        <v>6.8963034887450925E-4</v>
      </c>
      <c r="AW7" s="13">
        <f t="shared" si="1"/>
        <v>8.8645221486023384E-3</v>
      </c>
      <c r="AX7" s="13">
        <f t="shared" si="1"/>
        <v>2.8134249693882868E-2</v>
      </c>
      <c r="AY7" s="13">
        <f t="shared" si="1"/>
        <v>-4.6763512376474248E-3</v>
      </c>
      <c r="AZ7" s="13">
        <f t="shared" si="1"/>
        <v>-1.6034618735795952E-2</v>
      </c>
      <c r="BA7" s="13">
        <f t="shared" si="1"/>
        <v>-9.3070490716173661E-3</v>
      </c>
      <c r="BB7" s="13">
        <f t="shared" si="1"/>
        <v>1.1054925369844787E-2</v>
      </c>
      <c r="BC7" s="26">
        <f t="shared" si="1"/>
        <v>4.543135375800888E-3</v>
      </c>
    </row>
    <row r="8" spans="1:138" ht="15.75" x14ac:dyDescent="0.25">
      <c r="A8" s="95"/>
      <c r="B8" s="7" t="s">
        <v>3</v>
      </c>
      <c r="C8" s="8">
        <f t="shared" ref="C8:K8" si="4">AVERAGE(C5:C7)</f>
        <v>0</v>
      </c>
      <c r="D8" s="9">
        <f t="shared" si="4"/>
        <v>1.9630288583787851E-2</v>
      </c>
      <c r="E8" s="9">
        <f t="shared" si="4"/>
        <v>0.11053644685116966</v>
      </c>
      <c r="F8" s="9">
        <f t="shared" si="4"/>
        <v>0.19391793095069607</v>
      </c>
      <c r="G8" s="9">
        <f t="shared" si="4"/>
        <v>0.21330672195884035</v>
      </c>
      <c r="H8" s="9">
        <f t="shared" si="4"/>
        <v>0.2249237076080027</v>
      </c>
      <c r="I8" s="9">
        <f t="shared" si="4"/>
        <v>0.23707648137587403</v>
      </c>
      <c r="J8" s="9">
        <f t="shared" si="4"/>
        <v>0.22984192266170442</v>
      </c>
      <c r="K8" s="9">
        <f t="shared" si="4"/>
        <v>0.20782328438413167</v>
      </c>
      <c r="L8" s="9">
        <f t="shared" ref="L8:Q8" si="5">AVERAGE(L5:L7)</f>
        <v>0.16171655268167148</v>
      </c>
      <c r="M8" s="9">
        <f t="shared" si="5"/>
        <v>0.13777755027618577</v>
      </c>
      <c r="N8" s="9">
        <f t="shared" si="5"/>
        <v>9.955321618316372E-2</v>
      </c>
      <c r="O8" s="9">
        <f t="shared" si="5"/>
        <v>5.4990390247801481E-2</v>
      </c>
      <c r="P8" s="9">
        <f t="shared" si="5"/>
        <v>7.4432805727746255E-3</v>
      </c>
      <c r="Q8" s="28">
        <f t="shared" si="5"/>
        <v>0</v>
      </c>
      <c r="R8" s="40"/>
      <c r="S8" s="49">
        <f t="shared" ref="S8:U8" si="6">AVERAGE(S5:S7)</f>
        <v>5.3178380971791919</v>
      </c>
      <c r="T8" s="50">
        <f t="shared" si="6"/>
        <v>9.8508892264656964</v>
      </c>
      <c r="U8" s="28">
        <f t="shared" si="6"/>
        <v>0.22755522647580917</v>
      </c>
    </row>
    <row r="9" spans="1:138" ht="16.5" thickBot="1" x14ac:dyDescent="0.3">
      <c r="A9" s="95"/>
      <c r="B9" s="10" t="s">
        <v>4</v>
      </c>
      <c r="C9" s="12">
        <f t="shared" ref="C9:K9" si="7">STDEV(C5:C7)</f>
        <v>0</v>
      </c>
      <c r="D9" s="13">
        <f t="shared" si="7"/>
        <v>1.6426946254724378E-2</v>
      </c>
      <c r="E9" s="13">
        <f t="shared" si="7"/>
        <v>1.3873147646657757E-2</v>
      </c>
      <c r="F9" s="13">
        <f t="shared" si="7"/>
        <v>2.1175907116319573E-2</v>
      </c>
      <c r="G9" s="13">
        <f t="shared" si="7"/>
        <v>4.5939460675653585E-3</v>
      </c>
      <c r="H9" s="13">
        <f t="shared" si="7"/>
        <v>2.0005846175705722E-2</v>
      </c>
      <c r="I9" s="13">
        <f t="shared" si="7"/>
        <v>2.7424952172867358E-2</v>
      </c>
      <c r="J9" s="13">
        <f t="shared" si="7"/>
        <v>2.2960364240695353E-2</v>
      </c>
      <c r="K9" s="13">
        <f t="shared" si="7"/>
        <v>2.8846361626211903E-2</v>
      </c>
      <c r="L9" s="13">
        <f t="shared" ref="L9:Q9" si="8">STDEV(L5:L7)</f>
        <v>2.1709380992485545E-2</v>
      </c>
      <c r="M9" s="13">
        <f t="shared" si="8"/>
        <v>1.9080582416199407E-2</v>
      </c>
      <c r="N9" s="13">
        <f t="shared" si="8"/>
        <v>1.1122361651596581E-2</v>
      </c>
      <c r="O9" s="13">
        <f t="shared" si="8"/>
        <v>2.3767419714388543E-2</v>
      </c>
      <c r="P9" s="13">
        <f t="shared" si="8"/>
        <v>1.2892140127036024E-2</v>
      </c>
      <c r="Q9" s="26">
        <f t="shared" si="8"/>
        <v>0</v>
      </c>
      <c r="R9" s="40"/>
      <c r="S9" s="51">
        <f t="shared" ref="S9:U9" si="9">STDEV(S5:S7)</f>
        <v>5.1114173516940503E-2</v>
      </c>
      <c r="T9" s="52">
        <f t="shared" si="9"/>
        <v>0.10248224135441661</v>
      </c>
      <c r="U9" s="26">
        <f t="shared" si="9"/>
        <v>1.8253644387595989E-2</v>
      </c>
    </row>
    <row r="10" spans="1:138" x14ac:dyDescent="0.25">
      <c r="A10" s="95"/>
      <c r="B10" s="7" t="s">
        <v>7</v>
      </c>
      <c r="C10" s="8">
        <f>C8/MAX($C$8:$Q$8)</f>
        <v>0</v>
      </c>
      <c r="D10" s="9">
        <f t="shared" ref="D10:Q10" si="10">D8/MAX($C$8:$Q$8)</f>
        <v>8.2801501312417897E-2</v>
      </c>
      <c r="E10" s="9">
        <f t="shared" si="10"/>
        <v>0.46624804877173426</v>
      </c>
      <c r="F10" s="9">
        <f t="shared" si="10"/>
        <v>0.81795515871204438</v>
      </c>
      <c r="G10" s="9">
        <f t="shared" si="10"/>
        <v>0.89973801163622047</v>
      </c>
      <c r="H10" s="9">
        <f t="shared" si="10"/>
        <v>0.94873901579210784</v>
      </c>
      <c r="I10" s="9">
        <f t="shared" si="10"/>
        <v>1</v>
      </c>
      <c r="J10" s="9">
        <f t="shared" si="10"/>
        <v>0.96948428341696391</v>
      </c>
      <c r="K10" s="9">
        <f t="shared" si="10"/>
        <v>0.87660860823489806</v>
      </c>
      <c r="L10" s="9">
        <f t="shared" si="10"/>
        <v>0.68212819653450651</v>
      </c>
      <c r="M10" s="9">
        <f t="shared" si="10"/>
        <v>0.58115233310614944</v>
      </c>
      <c r="N10" s="9">
        <f t="shared" si="10"/>
        <v>0.41992025360510815</v>
      </c>
      <c r="O10" s="9">
        <f t="shared" si="10"/>
        <v>0.23195211068033655</v>
      </c>
      <c r="P10" s="9">
        <f t="shared" si="10"/>
        <v>3.1396115420549209E-2</v>
      </c>
      <c r="Q10" s="28">
        <f t="shared" si="10"/>
        <v>0</v>
      </c>
      <c r="S10" s="11"/>
      <c r="T10" s="2"/>
    </row>
    <row r="11" spans="1:138" ht="15.75" thickBot="1" x14ac:dyDescent="0.3">
      <c r="A11" s="96"/>
      <c r="B11" s="10" t="s">
        <v>4</v>
      </c>
      <c r="C11" s="12">
        <f>C9/MAX($C$8:$Q$8)</f>
        <v>0</v>
      </c>
      <c r="D11" s="13">
        <f t="shared" ref="D11:Q11" si="11">D9/MAX($C$8:$Q$8)</f>
        <v>6.9289649312283319E-2</v>
      </c>
      <c r="E11" s="13">
        <f t="shared" si="11"/>
        <v>5.8517603965373984E-2</v>
      </c>
      <c r="F11" s="13">
        <f t="shared" si="11"/>
        <v>8.9320994615008351E-2</v>
      </c>
      <c r="G11" s="13">
        <f t="shared" si="11"/>
        <v>1.9377485446487056E-2</v>
      </c>
      <c r="H11" s="13">
        <f t="shared" si="11"/>
        <v>8.4385621296561075E-2</v>
      </c>
      <c r="I11" s="13">
        <f t="shared" si="11"/>
        <v>0.11567976719456342</v>
      </c>
      <c r="J11" s="13">
        <f t="shared" si="11"/>
        <v>9.6847920584297587E-2</v>
      </c>
      <c r="K11" s="13">
        <f t="shared" si="11"/>
        <v>0.12167534062764034</v>
      </c>
      <c r="L11" s="13">
        <f t="shared" si="11"/>
        <v>9.1571213080669539E-2</v>
      </c>
      <c r="M11" s="13">
        <f t="shared" si="11"/>
        <v>8.0482814260888269E-2</v>
      </c>
      <c r="N11" s="13">
        <f t="shared" si="11"/>
        <v>4.6914656346542363E-2</v>
      </c>
      <c r="O11" s="13">
        <f t="shared" si="11"/>
        <v>0.10025211938550065</v>
      </c>
      <c r="P11" s="13">
        <f t="shared" si="11"/>
        <v>5.437966706868793E-2</v>
      </c>
      <c r="Q11" s="26">
        <f t="shared" si="11"/>
        <v>0</v>
      </c>
      <c r="S11" s="63">
        <v>0.5</v>
      </c>
      <c r="T11" s="63">
        <v>0.5</v>
      </c>
    </row>
    <row r="12" spans="1:138" ht="15.75" thickBot="1" x14ac:dyDescent="0.3">
      <c r="A12" s="15"/>
      <c r="B12" s="17" t="s">
        <v>11</v>
      </c>
      <c r="C12" s="57">
        <f>(POWER(10, C$3-$S8)/(1 + POWER(10, C$3-$S8))) * (1 - POWER(10, C$3-$T8)/(1 + POWER(10, C$3-$T8)))</f>
        <v>8.0485777259037605E-2</v>
      </c>
      <c r="D12" s="58">
        <f t="shared" ref="D12:Q12" si="12">(POWER(10, D$3-$S8)/(1 + POWER(10, D$3-$S8))) * (1 - POWER(10, D$3-$T8)/(1 + POWER(10, D$3-$T8)))</f>
        <v>0.18023797020194027</v>
      </c>
      <c r="E12" s="58">
        <f t="shared" si="12"/>
        <v>0.40456135626851619</v>
      </c>
      <c r="F12" s="58">
        <f t="shared" si="12"/>
        <v>0.84354618416650384</v>
      </c>
      <c r="G12" s="58">
        <f t="shared" si="12"/>
        <v>0.95681400678086914</v>
      </c>
      <c r="H12" s="58">
        <f t="shared" si="12"/>
        <v>0.98133906089999612</v>
      </c>
      <c r="I12" s="58">
        <f t="shared" si="12"/>
        <v>0.98910469556682357</v>
      </c>
      <c r="J12" s="58">
        <f t="shared" si="12"/>
        <v>0.98129496822452733</v>
      </c>
      <c r="K12" s="58">
        <f t="shared" si="12"/>
        <v>0.92463539699487962</v>
      </c>
      <c r="L12" s="58">
        <f t="shared" si="12"/>
        <v>0.81381819263179556</v>
      </c>
      <c r="M12" s="58">
        <f t="shared" si="12"/>
        <v>0.64050312847220736</v>
      </c>
      <c r="N12" s="58">
        <f t="shared" si="12"/>
        <v>0.37108276408437368</v>
      </c>
      <c r="O12" s="58">
        <f t="shared" si="12"/>
        <v>0.15724832649452614</v>
      </c>
      <c r="P12" s="58">
        <f t="shared" si="12"/>
        <v>5.8190420434926927E-2</v>
      </c>
      <c r="Q12" s="59">
        <f t="shared" si="12"/>
        <v>2.4006876780383688E-2</v>
      </c>
      <c r="BE12" s="67">
        <f>(POWER(10, BE$3-$S8)/(1 + POWER(10, BE$3-$S8))) * (1 - POWER(10, BE$3-$T8)/(1 + POWER(10, BE$3-$T8)))</f>
        <v>4.5894199314363844E-2</v>
      </c>
      <c r="BF12" s="67">
        <f t="shared" ref="BF12:DQ12" si="13">(POWER(10, BF$3-$S8)/(1 + POWER(10, BF$3-$S8))) * (1 - POWER(10, BF$3-$T8)/(1 + POWER(10, BF$3-$T8)))</f>
        <v>5.7098836293057169E-2</v>
      </c>
      <c r="BG12" s="67">
        <f t="shared" si="13"/>
        <v>7.0835879400434912E-2</v>
      </c>
      <c r="BH12" s="67">
        <f t="shared" si="13"/>
        <v>8.7570877677810674E-2</v>
      </c>
      <c r="BI12" s="67">
        <f t="shared" si="13"/>
        <v>0.10780080551969651</v>
      </c>
      <c r="BJ12" s="67">
        <f t="shared" si="13"/>
        <v>0.132027826726689</v>
      </c>
      <c r="BK12" s="67">
        <f t="shared" si="13"/>
        <v>0.16071874184171531</v>
      </c>
      <c r="BL12" s="67">
        <f t="shared" si="13"/>
        <v>0.19424905633493975</v>
      </c>
      <c r="BM12" s="67">
        <f t="shared" si="13"/>
        <v>0.23283392417336254</v>
      </c>
      <c r="BN12" s="67">
        <f t="shared" si="13"/>
        <v>0.27645328645361478</v>
      </c>
      <c r="BO12" s="67">
        <f t="shared" si="13"/>
        <v>0.32478447197766186</v>
      </c>
      <c r="BP12" s="67">
        <f t="shared" si="13"/>
        <v>0.3771602150535156</v>
      </c>
      <c r="BQ12" s="67">
        <f t="shared" si="13"/>
        <v>0.43257039563897043</v>
      </c>
      <c r="BR12" s="67">
        <f t="shared" si="13"/>
        <v>0.48971923527646399</v>
      </c>
      <c r="BS12" s="67">
        <f t="shared" si="13"/>
        <v>0.54713625844527136</v>
      </c>
      <c r="BT12" s="67">
        <f t="shared" si="13"/>
        <v>0.60332313012118144</v>
      </c>
      <c r="BU12" s="67">
        <f t="shared" si="13"/>
        <v>0.65690639386413452</v>
      </c>
      <c r="BV12" s="67">
        <f t="shared" si="13"/>
        <v>0.70676406160282645</v>
      </c>
      <c r="BW12" s="67">
        <f t="shared" si="13"/>
        <v>0.7521030079640405</v>
      </c>
      <c r="BX12" s="67">
        <f t="shared" si="13"/>
        <v>0.79247968963108162</v>
      </c>
      <c r="BY12" s="67">
        <f t="shared" si="13"/>
        <v>0.82777179441834225</v>
      </c>
      <c r="BZ12" s="67">
        <f t="shared" si="13"/>
        <v>0.85811764690947012</v>
      </c>
      <c r="CA12" s="67">
        <f t="shared" si="13"/>
        <v>0.88384211072860652</v>
      </c>
      <c r="CB12" s="67">
        <f t="shared" si="13"/>
        <v>0.90538421639301092</v>
      </c>
      <c r="CC12" s="67">
        <f t="shared" si="13"/>
        <v>0.92323593272946147</v>
      </c>
      <c r="CD12" s="67">
        <f t="shared" si="13"/>
        <v>0.93789595631502243</v>
      </c>
      <c r="CE12" s="67">
        <f t="shared" si="13"/>
        <v>0.94983842087946468</v>
      </c>
      <c r="CF12" s="67">
        <f t="shared" si="13"/>
        <v>0.95949423961001035</v>
      </c>
      <c r="CG12" s="67">
        <f t="shared" si="13"/>
        <v>0.96724200934806326</v>
      </c>
      <c r="CH12" s="67">
        <f t="shared" si="13"/>
        <v>0.97340549087590644</v>
      </c>
      <c r="CI12" s="67">
        <f t="shared" si="13"/>
        <v>0.97825517847229881</v>
      </c>
      <c r="CJ12" s="67">
        <f t="shared" si="13"/>
        <v>0.98201208375159632</v>
      </c>
      <c r="CK12" s="67">
        <f t="shared" si="13"/>
        <v>0.98485242258537353</v>
      </c>
      <c r="CL12" s="67">
        <f t="shared" si="13"/>
        <v>0.98691234524302618</v>
      </c>
      <c r="CM12" s="67">
        <f t="shared" si="13"/>
        <v>0.98829217928598379</v>
      </c>
      <c r="CN12" s="67">
        <f t="shared" si="13"/>
        <v>0.98905987818961105</v>
      </c>
      <c r="CO12" s="67">
        <f t="shared" si="13"/>
        <v>0.98925351035148634</v>
      </c>
      <c r="CP12" s="67">
        <f t="shared" si="13"/>
        <v>0.98888270706882797</v>
      </c>
      <c r="CQ12" s="67">
        <f t="shared" si="13"/>
        <v>0.98792903494876461</v>
      </c>
      <c r="CR12" s="67">
        <f t="shared" si="13"/>
        <v>0.98634528529225918</v>
      </c>
      <c r="CS12" s="67">
        <f t="shared" si="13"/>
        <v>0.98405369518099661</v>
      </c>
      <c r="CT12" s="67">
        <f t="shared" si="13"/>
        <v>0.98094314658561843</v>
      </c>
      <c r="CU12" s="67">
        <f t="shared" si="13"/>
        <v>0.97686544627769734</v>
      </c>
      <c r="CV12" s="67">
        <f t="shared" si="13"/>
        <v>0.97163088891234073</v>
      </c>
      <c r="CW12" s="67">
        <f t="shared" si="13"/>
        <v>0.96500347021379629</v>
      </c>
      <c r="CX12" s="67">
        <f t="shared" si="13"/>
        <v>0.95669637132508711</v>
      </c>
      <c r="CY12" s="67">
        <f t="shared" si="13"/>
        <v>0.94636870195262812</v>
      </c>
      <c r="CZ12" s="67">
        <f t="shared" si="13"/>
        <v>0.93362497933384037</v>
      </c>
      <c r="DA12" s="67">
        <f t="shared" si="13"/>
        <v>0.91801940941074311</v>
      </c>
      <c r="DB12" s="67">
        <f t="shared" si="13"/>
        <v>0.89906763623545416</v>
      </c>
      <c r="DC12" s="67">
        <f t="shared" si="13"/>
        <v>0.87626903504200648</v>
      </c>
      <c r="DD12" s="67">
        <f t="shared" si="13"/>
        <v>0.84914249320653234</v>
      </c>
      <c r="DE12" s="67">
        <f t="shared" si="13"/>
        <v>0.81727745673003038</v>
      </c>
      <c r="DF12" s="67">
        <f t="shared" si="13"/>
        <v>0.78039929620859427</v>
      </c>
      <c r="DG12" s="67">
        <f t="shared" si="13"/>
        <v>0.73844351738044312</v>
      </c>
      <c r="DH12" s="67">
        <f t="shared" si="13"/>
        <v>0.69162751226293362</v>
      </c>
      <c r="DI12" s="67">
        <f t="shared" si="13"/>
        <v>0.64050312847221758</v>
      </c>
      <c r="DJ12" s="67">
        <f t="shared" si="13"/>
        <v>0.5859711979585065</v>
      </c>
      <c r="DK12" s="67">
        <f t="shared" si="13"/>
        <v>0.52924328324352832</v>
      </c>
      <c r="DL12" s="67">
        <f t="shared" si="13"/>
        <v>0.47174730679215121</v>
      </c>
      <c r="DM12" s="67">
        <f t="shared" si="13"/>
        <v>0.41498969333278551</v>
      </c>
      <c r="DN12" s="67">
        <f t="shared" si="13"/>
        <v>0.36040089512852985</v>
      </c>
      <c r="DO12" s="67">
        <f t="shared" si="13"/>
        <v>0.30919696235791533</v>
      </c>
      <c r="DP12" s="67">
        <f t="shared" si="13"/>
        <v>0.2622842214736939</v>
      </c>
      <c r="DQ12" s="67">
        <f t="shared" si="13"/>
        <v>0.22021998055082243</v>
      </c>
      <c r="DR12" s="67">
        <f t="shared" ref="DR12:EG12" si="14">(POWER(10, DR$3-$S8)/(1 + POWER(10, DR$3-$S8))) * (1 - POWER(10, DR$3-$T8)/(1 + POWER(10, DR$3-$T8)))</f>
        <v>0.18322618430250165</v>
      </c>
      <c r="DS12" s="67">
        <f t="shared" si="14"/>
        <v>0.15124141577873931</v>
      </c>
      <c r="DT12" s="67">
        <f t="shared" si="14"/>
        <v>0.12399239443329182</v>
      </c>
      <c r="DU12" s="67">
        <f t="shared" si="14"/>
        <v>0.10106816810917726</v>
      </c>
      <c r="DV12" s="67">
        <f t="shared" si="14"/>
        <v>8.1985583118706684E-2</v>
      </c>
      <c r="DW12" s="67">
        <f t="shared" si="14"/>
        <v>6.6240455981367338E-2</v>
      </c>
      <c r="DX12" s="67">
        <f t="shared" si="14"/>
        <v>5.3343428220135582E-2</v>
      </c>
      <c r="DY12" s="67">
        <f t="shared" si="14"/>
        <v>4.2842238695894222E-2</v>
      </c>
      <c r="DZ12" s="67">
        <f t="shared" si="14"/>
        <v>3.43333354993006E-2</v>
      </c>
      <c r="EA12" s="67">
        <f t="shared" si="14"/>
        <v>2.7465891408649776E-2</v>
      </c>
      <c r="EB12" s="67">
        <f t="shared" si="14"/>
        <v>2.1940879971616076E-2</v>
      </c>
      <c r="EC12" s="67">
        <f t="shared" si="14"/>
        <v>1.7507266497041488E-2</v>
      </c>
      <c r="ED12" s="67">
        <f t="shared" si="14"/>
        <v>1.3956772465389702E-2</v>
      </c>
      <c r="EE12" s="67">
        <f t="shared" si="14"/>
        <v>1.1118174269149211E-2</v>
      </c>
      <c r="EF12" s="67">
        <f t="shared" si="14"/>
        <v>8.8517215289033117E-3</v>
      </c>
      <c r="EG12" s="67">
        <f t="shared" si="14"/>
        <v>7.0439966605917205E-3</v>
      </c>
      <c r="EH12" s="66">
        <f>MAX(BE12:EG12)</f>
        <v>0.98925351035148634</v>
      </c>
    </row>
    <row r="13" spans="1:138" ht="15.75" thickBot="1" x14ac:dyDescent="0.3">
      <c r="A13" s="15"/>
      <c r="B13" s="29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11"/>
      <c r="BE13" s="83">
        <f>BE12*MAX($C8:$Q8)</f>
        <v>1.0880435289012431E-2</v>
      </c>
      <c r="BF13" s="83">
        <f t="shared" ref="BF13:DQ13" si="15">BF12*MAX($C8:$Q8)</f>
        <v>1.3536791199015049E-2</v>
      </c>
      <c r="BG13" s="83">
        <f t="shared" si="15"/>
        <v>1.6793521043420866E-2</v>
      </c>
      <c r="BH13" s="83">
        <f t="shared" si="15"/>
        <v>2.0760995550852424E-2</v>
      </c>
      <c r="BI13" s="83">
        <f t="shared" si="15"/>
        <v>2.5557035662094548E-2</v>
      </c>
      <c r="BJ13" s="83">
        <f t="shared" si="15"/>
        <v>3.130069260406701E-2</v>
      </c>
      <c r="BK13" s="83">
        <f t="shared" si="15"/>
        <v>3.8102633806991325E-2</v>
      </c>
      <c r="BL13" s="83">
        <f t="shared" si="15"/>
        <v>4.6051882786471446E-2</v>
      </c>
      <c r="BM13" s="83">
        <f t="shared" si="15"/>
        <v>5.5199447487957853E-2</v>
      </c>
      <c r="BN13" s="83">
        <f t="shared" si="15"/>
        <v>6.554057241721957E-2</v>
      </c>
      <c r="BO13" s="83">
        <f t="shared" si="15"/>
        <v>7.699875982198523E-2</v>
      </c>
      <c r="BP13" s="83">
        <f t="shared" si="15"/>
        <v>8.9415816699855433E-2</v>
      </c>
      <c r="BQ13" s="83">
        <f t="shared" si="15"/>
        <v>0.10255226734545683</v>
      </c>
      <c r="BR13" s="83">
        <f t="shared" si="15"/>
        <v>0.11610091316142788</v>
      </c>
      <c r="BS13" s="83">
        <f t="shared" si="15"/>
        <v>0.12971313898536577</v>
      </c>
      <c r="BT13" s="83">
        <f t="shared" si="15"/>
        <v>0.14303372482180829</v>
      </c>
      <c r="BU13" s="83">
        <f t="shared" si="15"/>
        <v>0.15573705645062305</v>
      </c>
      <c r="BV13" s="83">
        <f t="shared" si="15"/>
        <v>0.16755713688771956</v>
      </c>
      <c r="BW13" s="83">
        <f t="shared" si="15"/>
        <v>0.17830593476032569</v>
      </c>
      <c r="BX13" s="83">
        <f t="shared" si="15"/>
        <v>0.18787829637958156</v>
      </c>
      <c r="BY13" s="83">
        <f t="shared" si="15"/>
        <v>0.19624522440289394</v>
      </c>
      <c r="BZ13" s="83">
        <f t="shared" si="15"/>
        <v>0.20343951233584184</v>
      </c>
      <c r="CA13" s="83">
        <f t="shared" si="15"/>
        <v>0.20953817770336366</v>
      </c>
      <c r="CB13" s="83">
        <f t="shared" si="15"/>
        <v>0.21464530431570797</v>
      </c>
      <c r="CC13" s="83">
        <f t="shared" si="15"/>
        <v>0.21887752641127386</v>
      </c>
      <c r="CD13" s="83">
        <f t="shared" si="15"/>
        <v>0.22235307321982598</v>
      </c>
      <c r="CE13" s="83">
        <f t="shared" si="15"/>
        <v>0.22518435069772</v>
      </c>
      <c r="CF13" s="83">
        <f t="shared" si="15"/>
        <v>0.22747351822716103</v>
      </c>
      <c r="CG13" s="83">
        <f t="shared" si="15"/>
        <v>0.22931033221516908</v>
      </c>
      <c r="CH13" s="83">
        <f t="shared" si="15"/>
        <v>0.23077154872881536</v>
      </c>
      <c r="CI13" s="83">
        <f t="shared" si="15"/>
        <v>0.23192129559994026</v>
      </c>
      <c r="CJ13" s="83">
        <f t="shared" si="15"/>
        <v>0.23281196948441857</v>
      </c>
      <c r="CK13" s="83">
        <f t="shared" si="15"/>
        <v>0.23348534702104573</v>
      </c>
      <c r="CL13" s="83">
        <f t="shared" si="15"/>
        <v>0.23397370623662847</v>
      </c>
      <c r="CM13" s="83">
        <f t="shared" si="15"/>
        <v>0.2343008324364155</v>
      </c>
      <c r="CN13" s="83">
        <f t="shared" si="15"/>
        <v>0.23448283579124357</v>
      </c>
      <c r="CO13" s="83">
        <f t="shared" si="15"/>
        <v>0.23452874142286215</v>
      </c>
      <c r="CP13" s="83">
        <f t="shared" si="15"/>
        <v>0.23444083268532689</v>
      </c>
      <c r="CQ13" s="83">
        <f t="shared" si="15"/>
        <v>0.23421473945471599</v>
      </c>
      <c r="CR13" s="83">
        <f t="shared" si="15"/>
        <v>0.23383926965877144</v>
      </c>
      <c r="CS13" s="83">
        <f t="shared" si="15"/>
        <v>0.23329598753843755</v>
      </c>
      <c r="CT13" s="83">
        <f t="shared" si="15"/>
        <v>0.23255854962229663</v>
      </c>
      <c r="CU13" s="83">
        <f t="shared" si="15"/>
        <v>0.23159182278118939</v>
      </c>
      <c r="CV13" s="83">
        <f t="shared" si="15"/>
        <v>0.23035083233945047</v>
      </c>
      <c r="CW13" s="83">
        <f t="shared" si="15"/>
        <v>0.22877962723379489</v>
      </c>
      <c r="CX13" s="83">
        <f t="shared" si="15"/>
        <v>0.22681020945881827</v>
      </c>
      <c r="CY13" s="83">
        <f t="shared" si="15"/>
        <v>0.22436176194318233</v>
      </c>
      <c r="CZ13" s="83">
        <f t="shared" si="15"/>
        <v>0.22134052502509</v>
      </c>
      <c r="DA13" s="83">
        <f t="shared" si="15"/>
        <v>0.21764081141785691</v>
      </c>
      <c r="DB13" s="83">
        <f t="shared" si="15"/>
        <v>0.21314779171762574</v>
      </c>
      <c r="DC13" s="83">
        <f t="shared" si="15"/>
        <v>0.20774277956639137</v>
      </c>
      <c r="DD13" s="83">
        <f t="shared" si="15"/>
        <v>0.20131171447614171</v>
      </c>
      <c r="DE13" s="83">
        <f t="shared" si="15"/>
        <v>0.19375726374937874</v>
      </c>
      <c r="DF13" s="83">
        <f t="shared" si="15"/>
        <v>0.18501431921334199</v>
      </c>
      <c r="DG13" s="83">
        <f t="shared" si="15"/>
        <v>0.17506759079537954</v>
      </c>
      <c r="DH13" s="83">
        <f t="shared" si="15"/>
        <v>0.16396861703004548</v>
      </c>
      <c r="DI13" s="83">
        <f t="shared" si="15"/>
        <v>0.15184822800843276</v>
      </c>
      <c r="DJ13" s="83">
        <f t="shared" si="15"/>
        <v>0.13891998979960846</v>
      </c>
      <c r="DK13" s="83">
        <f t="shared" si="15"/>
        <v>0.12547113538319077</v>
      </c>
      <c r="DL13" s="83">
        <f t="shared" si="15"/>
        <v>0.11184019159282817</v>
      </c>
      <c r="DM13" s="83">
        <f t="shared" si="15"/>
        <v>9.8384296302589797E-2</v>
      </c>
      <c r="DN13" s="83">
        <f t="shared" si="15"/>
        <v>8.5442576101787238E-2</v>
      </c>
      <c r="DO13" s="83">
        <f t="shared" si="15"/>
        <v>7.3303327887923139E-2</v>
      </c>
      <c r="DP13" s="83">
        <f t="shared" si="15"/>
        <v>6.2181420347393809E-2</v>
      </c>
      <c r="DQ13" s="83">
        <f t="shared" si="15"/>
        <v>5.2208978117652391E-2</v>
      </c>
      <c r="DR13" s="83">
        <f t="shared" ref="DR13:EG13" si="16">DR12*MAX($C8:$Q8)</f>
        <v>4.3438619070364497E-2</v>
      </c>
      <c r="DS13" s="83">
        <f t="shared" si="16"/>
        <v>3.5855782691129115E-2</v>
      </c>
      <c r="DT13" s="83">
        <f t="shared" si="16"/>
        <v>2.9395680589614337E-2</v>
      </c>
      <c r="DU13" s="83">
        <f t="shared" si="16"/>
        <v>2.3960885674429069E-2</v>
      </c>
      <c r="DV13" s="83">
        <f t="shared" si="16"/>
        <v>1.9436853569332238E-2</v>
      </c>
      <c r="DW13" s="83">
        <f t="shared" si="16"/>
        <v>1.5704054228796036E-2</v>
      </c>
      <c r="DX13" s="83">
        <f t="shared" si="16"/>
        <v>1.2646472266956246E-2</v>
      </c>
      <c r="DY13" s="83">
        <f t="shared" si="16"/>
        <v>1.0156887204287916E-2</v>
      </c>
      <c r="DZ13" s="83">
        <f t="shared" si="16"/>
        <v>8.1396263740715728E-3</v>
      </c>
      <c r="EA13" s="83">
        <f t="shared" si="16"/>
        <v>6.5115168930145375E-3</v>
      </c>
      <c r="EB13" s="83">
        <f t="shared" si="16"/>
        <v>5.2016666219611265E-3</v>
      </c>
      <c r="EC13" s="83">
        <f t="shared" si="16"/>
        <v>4.1505611396283199E-3</v>
      </c>
      <c r="ED13" s="83">
        <f t="shared" si="16"/>
        <v>3.3088225074582732E-3</v>
      </c>
      <c r="EE13" s="83">
        <f t="shared" si="16"/>
        <v>2.6358576350536747E-3</v>
      </c>
      <c r="EF13" s="83">
        <f t="shared" si="16"/>
        <v>2.0985349941914692E-3</v>
      </c>
      <c r="EG13" s="83">
        <f t="shared" si="16"/>
        <v>1.6699659431164918E-3</v>
      </c>
      <c r="EH13" s="88">
        <f>MAX(BE13:EG13)</f>
        <v>0.23452874142286215</v>
      </c>
    </row>
    <row r="14" spans="1:138" x14ac:dyDescent="0.25">
      <c r="A14" s="97" t="s">
        <v>8</v>
      </c>
      <c r="B14" s="21" t="s">
        <v>0</v>
      </c>
      <c r="C14" s="33">
        <f>'[4]a1(I)'!C$7</f>
        <v>6.8976024553589174E-6</v>
      </c>
      <c r="D14" s="34">
        <f>'[4]a1(I)'!D$7</f>
        <v>3.8085743912813344E-2</v>
      </c>
      <c r="E14" s="34">
        <f>'[4]a1(I)'!E$7</f>
        <v>0.10738629915730658</v>
      </c>
      <c r="F14" s="34">
        <f>'[4]a1(I)'!F$7</f>
        <v>0.19885213890687989</v>
      </c>
      <c r="G14" s="34">
        <f>'[4]a1(I)'!G$7</f>
        <v>0.23171354230766847</v>
      </c>
      <c r="H14" s="34">
        <f>'[4]a1(I)'!H$7</f>
        <v>0.23081154301970278</v>
      </c>
      <c r="I14" s="34">
        <f>'[4]a1(I)'!I$7</f>
        <v>0.24591751683901641</v>
      </c>
      <c r="J14" s="34">
        <f>'[4]a1(I)'!J$7</f>
        <v>0.24672442457447005</v>
      </c>
      <c r="K14" s="34">
        <f>'[4]a1(I)'!K$7</f>
        <v>0.22269965591468921</v>
      </c>
      <c r="L14" s="34">
        <f>'[4]a1(I)'!L$7</f>
        <v>0.16633998582613085</v>
      </c>
      <c r="M14" s="34">
        <f>'[4]a1(I)'!M$7</f>
        <v>0.1239543127074576</v>
      </c>
      <c r="N14" s="34">
        <f>'[4]a1(I)'!N$7</f>
        <v>7.9165477022493616E-2</v>
      </c>
      <c r="O14" s="34">
        <f>'[4]a1(I)'!O$7</f>
        <v>4.1612365910870863E-2</v>
      </c>
      <c r="P14" s="34">
        <f>'[4]a1(I)'!P$7</f>
        <v>2.4697642846739389E-2</v>
      </c>
      <c r="Q14" s="35">
        <f>'[4]a1(I)'!Q$7</f>
        <v>1.3704335714149548E-2</v>
      </c>
      <c r="R14" s="11"/>
      <c r="S14" s="61">
        <v>5.3361838755613036</v>
      </c>
      <c r="T14" s="45">
        <v>9.678579518445078</v>
      </c>
      <c r="U14" s="54">
        <v>0.24327433946223476</v>
      </c>
      <c r="W14" s="54">
        <f>SQRT(SUMSQ(AO14:BC14))</f>
        <v>4.109166475199378E-2</v>
      </c>
      <c r="Y14" s="23">
        <f>$U14 * (POWER(10, C$3-$S14)/(1 + POWER(10, C$3-$S14))) * (1 - POWER(10, C$3-$T14)/(1 + POWER(10, C$3-$T14)))</f>
        <v>1.8832906958188247E-2</v>
      </c>
      <c r="Z14" s="24">
        <f t="shared" ref="Z14:Z16" si="17">$U14 * (POWER(10, D$3-$S14)/(1 + POWER(10, D$3-$S14))) * (1 - POWER(10, D$3-$T14)/(1 + POWER(10, D$3-$T14)))</f>
        <v>4.2349212412603761E-2</v>
      </c>
      <c r="AA14" s="24">
        <f t="shared" ref="AA14:AA16" si="18">$U14 * (POWER(10, E$3-$S14)/(1 + POWER(10, E$3-$S14))) * (1 - POWER(10, E$3-$T14)/(1 + POWER(10, E$3-$T14)))</f>
        <v>9.5953266462370457E-2</v>
      </c>
      <c r="AB14" s="24">
        <f t="shared" ref="AB14:AB16" si="19">$U14 * (POWER(10, F$3-$S14)/(1 + POWER(10, F$3-$S14))) * (1 - POWER(10, F$3-$T14)/(1 + POWER(10, F$3-$T14)))</f>
        <v>0.20382258387938088</v>
      </c>
      <c r="AC14" s="24">
        <f t="shared" ref="AC14:AC16" si="20">$U14 * (POWER(10, G$3-$S14)/(1 + POWER(10, G$3-$S14))) * (1 - POWER(10, G$3-$T14)/(1 + POWER(10, G$3-$T14)))</f>
        <v>0.23226714951293087</v>
      </c>
      <c r="AD14" s="24">
        <f t="shared" ref="AD14:AD16" si="21">$U14 * (POWER(10, H$3-$S14)/(1 + POWER(10, H$3-$S14))) * (1 - POWER(10, H$3-$T14)/(1 + POWER(10, H$3-$T14)))</f>
        <v>0.23836324945164258</v>
      </c>
      <c r="AE14" s="24">
        <f t="shared" ref="AE14:AE16" si="22">$U14 * (POWER(10, I$3-$S14)/(1 + POWER(10, I$3-$S14))) * (1 - POWER(10, I$3-$T14)/(1 + POWER(10, I$3-$T14)))</f>
        <v>0.24002674888341724</v>
      </c>
      <c r="AF14" s="24">
        <f t="shared" ref="AF14:AF16" si="23">$U14 * (POWER(10, J$3-$S14)/(1 + POWER(10, J$3-$S14))) * (1 - POWER(10, J$3-$T14)/(1 + POWER(10, J$3-$T14)))</f>
        <v>0.23674114856962017</v>
      </c>
      <c r="AG14" s="24">
        <f t="shared" ref="AG14:AG16" si="24">$U14 * (POWER(10, K$3-$S14)/(1 + POWER(10, K$3-$S14))) * (1 - POWER(10, K$3-$T14)/(1 + POWER(10, K$3-$T14)))</f>
        <v>0.21700721302934503</v>
      </c>
      <c r="AH14" s="24">
        <f t="shared" ref="AH14:AH16" si="25">$U14 * (POWER(10, L$3-$S14)/(1 + POWER(10, L$3-$S14))) * (1 - POWER(10, L$3-$T14)/(1 + POWER(10, L$3-$T14)))</f>
        <v>0.18152993892494163</v>
      </c>
      <c r="AI14" s="24">
        <f t="shared" ref="AI14:AI16" si="26">$U14 * (POWER(10, M$3-$S14)/(1 + POWER(10, M$3-$S14))) * (1 - POWER(10, M$3-$T14)/(1 + POWER(10, M$3-$T14)))</f>
        <v>0.13260429610428884</v>
      </c>
      <c r="AJ14" s="24">
        <f t="shared" ref="AJ14:AJ16" si="27">$U14 * (POWER(10, N$3-$S14)/(1 + POWER(10, N$3-$S14))) * (1 - POWER(10, N$3-$T14)/(1 + POWER(10, N$3-$T14)))</f>
        <v>6.9108509917143332E-2</v>
      </c>
      <c r="AK14" s="24">
        <f t="shared" ref="AK14:AK16" si="28">$U14 * (POWER(10, O$3-$S14)/(1 + POWER(10, O$3-$S14))) * (1 - POWER(10, O$3-$T14)/(1 + POWER(10, O$3-$T14)))</f>
        <v>2.7122830064884567E-2</v>
      </c>
      <c r="AL14" s="24">
        <f t="shared" ref="AL14:AL16" si="29">$U14 * (POWER(10, P$3-$S14)/(1 + POWER(10, P$3-$S14))) * (1 - POWER(10, P$3-$T14)/(1 + POWER(10, P$3-$T14)))</f>
        <v>9.7049776200910879E-3</v>
      </c>
      <c r="AM14" s="25">
        <f t="shared" ref="AM14:AM16" si="30">$U14 * (POWER(10, Q$3-$S14)/(1 + POWER(10, Q$3-$S14))) * (1 - POWER(10, Q$3-$T14)/(1 + POWER(10, Q$3-$T14)))</f>
        <v>3.9586791645570239E-3</v>
      </c>
      <c r="AO14" s="23">
        <f t="shared" ref="AO14:BC16" si="31">Y14-C14</f>
        <v>1.8826009355732889E-2</v>
      </c>
      <c r="AP14" s="24">
        <f t="shared" si="31"/>
        <v>4.2634684997904168E-3</v>
      </c>
      <c r="AQ14" s="24">
        <f t="shared" si="31"/>
        <v>-1.1433032694936118E-2</v>
      </c>
      <c r="AR14" s="24">
        <f t="shared" si="31"/>
        <v>4.9704449725009869E-3</v>
      </c>
      <c r="AS14" s="24">
        <f t="shared" si="31"/>
        <v>5.5360720526240192E-4</v>
      </c>
      <c r="AT14" s="24">
        <f t="shared" si="31"/>
        <v>7.5517064319398086E-3</v>
      </c>
      <c r="AU14" s="24">
        <f t="shared" si="31"/>
        <v>-5.8907679555991743E-3</v>
      </c>
      <c r="AV14" s="24">
        <f t="shared" si="31"/>
        <v>-9.9832760048498836E-3</v>
      </c>
      <c r="AW14" s="24">
        <f t="shared" si="31"/>
        <v>-5.6924428853441789E-3</v>
      </c>
      <c r="AX14" s="24">
        <f t="shared" si="31"/>
        <v>1.5189953098810771E-2</v>
      </c>
      <c r="AY14" s="24">
        <f t="shared" si="31"/>
        <v>8.6499833968312345E-3</v>
      </c>
      <c r="AZ14" s="24">
        <f t="shared" si="31"/>
        <v>-1.0056967105350284E-2</v>
      </c>
      <c r="BA14" s="24">
        <f t="shared" si="31"/>
        <v>-1.4489535845986296E-2</v>
      </c>
      <c r="BB14" s="24">
        <f t="shared" si="31"/>
        <v>-1.4992665226648301E-2</v>
      </c>
      <c r="BC14" s="25">
        <f t="shared" si="31"/>
        <v>-9.7456565495925244E-3</v>
      </c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  <c r="DQ14" s="65"/>
      <c r="DR14" s="65"/>
      <c r="DS14" s="65"/>
      <c r="DT14" s="65"/>
      <c r="DU14" s="65"/>
      <c r="DV14" s="65"/>
      <c r="DW14" s="65"/>
      <c r="DX14" s="65"/>
      <c r="DY14" s="65"/>
      <c r="DZ14" s="65"/>
      <c r="EA14" s="65"/>
      <c r="EB14" s="65"/>
      <c r="EC14" s="65"/>
      <c r="ED14" s="65"/>
      <c r="EE14" s="65"/>
      <c r="EF14" s="65"/>
      <c r="EG14" s="65"/>
    </row>
    <row r="15" spans="1:138" x14ac:dyDescent="0.25">
      <c r="A15" s="98"/>
      <c r="B15" s="20" t="s">
        <v>1</v>
      </c>
      <c r="C15" s="3">
        <f>'[5]a1(I)'!C$5</f>
        <v>0</v>
      </c>
      <c r="D15" s="4">
        <f>'[5]a1(I)'!D$5</f>
        <v>1.6275081376177218E-2</v>
      </c>
      <c r="E15" s="4">
        <f>'[5]a1(I)'!E$5</f>
        <v>9.7979782678146637E-2</v>
      </c>
      <c r="F15" s="4">
        <f>'[5]a1(I)'!F$5</f>
        <v>0.17385426808545845</v>
      </c>
      <c r="G15" s="4">
        <f>'[5]a1(I)'!G$5</f>
        <v>0.19408753350347216</v>
      </c>
      <c r="H15" s="4">
        <f>'[5]a1(I)'!H$5</f>
        <v>0.21101133125028504</v>
      </c>
      <c r="I15" s="4">
        <f>'[5]a1(I)'!I$5</f>
        <v>0.2245091847383594</v>
      </c>
      <c r="J15" s="4">
        <f>'[5]a1(I)'!J$5</f>
        <v>0.22170895877819044</v>
      </c>
      <c r="K15" s="4">
        <f>'[5]a1(I)'!K$5</f>
        <v>0.19097528506100225</v>
      </c>
      <c r="L15" s="4">
        <f>'[5]a1(I)'!L$5</f>
        <v>0.13997634757080454</v>
      </c>
      <c r="M15" s="4">
        <f>'[5]a1(I)'!M$5</f>
        <v>0.10952680921852441</v>
      </c>
      <c r="N15" s="4">
        <f>'[5]a1(I)'!N$5</f>
        <v>6.2127742835769911E-2</v>
      </c>
      <c r="O15" s="4">
        <f>'[5]a1(I)'!O$5</f>
        <v>3.9562133208671295E-2</v>
      </c>
      <c r="P15" s="4">
        <f>'[5]a1(I)'!P$5</f>
        <v>1.4448314732119495E-6</v>
      </c>
      <c r="Q15" s="27">
        <f>'[5]a1(I)'!Q$5</f>
        <v>0</v>
      </c>
      <c r="R15" s="11"/>
      <c r="S15" s="62">
        <v>5.3949890884570655</v>
      </c>
      <c r="T15" s="46">
        <v>9.6066997837107184</v>
      </c>
      <c r="U15" s="55">
        <v>0.21761807008377745</v>
      </c>
      <c r="W15" s="55">
        <f t="shared" ref="W15:W16" si="32">SQRT(SUMSQ(AO15:BC15))</f>
        <v>4.4621707660623976E-2</v>
      </c>
      <c r="Y15" s="3">
        <f t="shared" ref="Y15:Y16" si="33">$U15 * (POWER(10, C$3-$S15)/(1 + POWER(10, C$3-$S15))) * (1 - POWER(10, C$3-$T15)/(1 + POWER(10, C$3-$T15)))</f>
        <v>1.4858984750288542E-2</v>
      </c>
      <c r="Z15" s="4">
        <f t="shared" si="17"/>
        <v>3.3831343212729889E-2</v>
      </c>
      <c r="AA15" s="4">
        <f t="shared" si="18"/>
        <v>7.8904996155326299E-2</v>
      </c>
      <c r="AB15" s="4">
        <f t="shared" si="19"/>
        <v>0.17813558995872592</v>
      </c>
      <c r="AC15" s="4">
        <f t="shared" si="20"/>
        <v>0.20640894180037903</v>
      </c>
      <c r="AD15" s="4">
        <f t="shared" si="21"/>
        <v>0.2125823304037954</v>
      </c>
      <c r="AE15" s="4">
        <f t="shared" si="22"/>
        <v>0.21424611207817798</v>
      </c>
      <c r="AF15" s="4">
        <f t="shared" si="23"/>
        <v>0.21076614468468685</v>
      </c>
      <c r="AG15" s="4">
        <f t="shared" si="24"/>
        <v>0.19042130690453993</v>
      </c>
      <c r="AH15" s="4">
        <f t="shared" si="25"/>
        <v>0.15529079730990666</v>
      </c>
      <c r="AI15" s="4">
        <f t="shared" si="26"/>
        <v>0.10964146866194266</v>
      </c>
      <c r="AJ15" s="4">
        <f t="shared" si="27"/>
        <v>5.476317460647348E-2</v>
      </c>
      <c r="AK15" s="4">
        <f t="shared" si="28"/>
        <v>2.0917172908396498E-2</v>
      </c>
      <c r="AL15" s="4">
        <f t="shared" si="29"/>
        <v>7.4022575589594861E-3</v>
      </c>
      <c r="AM15" s="27">
        <f t="shared" si="30"/>
        <v>3.0084895701401734E-3</v>
      </c>
      <c r="AO15" s="3">
        <f t="shared" si="31"/>
        <v>1.4858984750288542E-2</v>
      </c>
      <c r="AP15" s="4">
        <f t="shared" si="31"/>
        <v>1.7556261836552671E-2</v>
      </c>
      <c r="AQ15" s="4">
        <f t="shared" si="31"/>
        <v>-1.9074786522820339E-2</v>
      </c>
      <c r="AR15" s="4">
        <f t="shared" si="31"/>
        <v>4.2813218732674629E-3</v>
      </c>
      <c r="AS15" s="4">
        <f t="shared" si="31"/>
        <v>1.2321408296906866E-2</v>
      </c>
      <c r="AT15" s="4">
        <f t="shared" si="31"/>
        <v>1.5709991535103607E-3</v>
      </c>
      <c r="AU15" s="4">
        <f t="shared" si="31"/>
        <v>-1.0263072660181422E-2</v>
      </c>
      <c r="AV15" s="4">
        <f t="shared" si="31"/>
        <v>-1.0942814093503589E-2</v>
      </c>
      <c r="AW15" s="4">
        <f t="shared" si="31"/>
        <v>-5.5397815646232584E-4</v>
      </c>
      <c r="AX15" s="4">
        <f t="shared" si="31"/>
        <v>1.5314449739102121E-2</v>
      </c>
      <c r="AY15" s="4">
        <f t="shared" si="31"/>
        <v>1.1465944341824963E-4</v>
      </c>
      <c r="AZ15" s="4">
        <f t="shared" si="31"/>
        <v>-7.364568229296431E-3</v>
      </c>
      <c r="BA15" s="4">
        <f t="shared" si="31"/>
        <v>-1.8644960300274797E-2</v>
      </c>
      <c r="BB15" s="4">
        <f t="shared" si="31"/>
        <v>7.400812727486274E-3</v>
      </c>
      <c r="BC15" s="27">
        <f t="shared" si="31"/>
        <v>3.0084895701401734E-3</v>
      </c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65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  <c r="DQ15" s="65"/>
      <c r="DR15" s="65"/>
      <c r="DS15" s="65"/>
      <c r="DT15" s="65"/>
      <c r="DU15" s="65"/>
      <c r="DV15" s="65"/>
      <c r="DW15" s="65"/>
      <c r="DX15" s="65"/>
      <c r="DY15" s="65"/>
      <c r="DZ15" s="65"/>
      <c r="EA15" s="65"/>
      <c r="EB15" s="65"/>
      <c r="EC15" s="65"/>
      <c r="ED15" s="65"/>
      <c r="EE15" s="65"/>
      <c r="EF15" s="65"/>
      <c r="EG15" s="65"/>
    </row>
    <row r="16" spans="1:138" ht="15.75" thickBot="1" x14ac:dyDescent="0.3">
      <c r="A16" s="98"/>
      <c r="B16" s="20" t="s">
        <v>2</v>
      </c>
      <c r="C16" s="3">
        <f>'[6]a1(I)'!C$5</f>
        <v>0</v>
      </c>
      <c r="D16" s="4">
        <f>'[6]a1(I)'!D$5</f>
        <v>2.2794570794321137E-2</v>
      </c>
      <c r="E16" s="4">
        <f>'[6]a1(I)'!E$5</f>
        <v>9.0790129978876685E-2</v>
      </c>
      <c r="F16" s="4">
        <f>'[6]a1(I)'!F$5</f>
        <v>0.17041825596560339</v>
      </c>
      <c r="G16" s="4">
        <f>'[6]a1(I)'!G$5</f>
        <v>0.20595575940389271</v>
      </c>
      <c r="H16" s="4">
        <f>'[6]a1(I)'!H$5</f>
        <v>0.20844076209432708</v>
      </c>
      <c r="I16" s="4">
        <f>'[6]a1(I)'!I$5</f>
        <v>0.21536899191714456</v>
      </c>
      <c r="J16" s="4">
        <f>'[6]a1(I)'!J$5</f>
        <v>0.20178198809904424</v>
      </c>
      <c r="K16" s="4">
        <f>'[6]a1(I)'!K$5</f>
        <v>0.17558626036926619</v>
      </c>
      <c r="L16" s="4">
        <f>'[6]a1(I)'!L$5</f>
        <v>0.13299705516584628</v>
      </c>
      <c r="M16" s="4">
        <f>'[6]a1(I)'!M$5</f>
        <v>9.1900049259636379E-2</v>
      </c>
      <c r="N16" s="4">
        <f>'[6]a1(I)'!N$5</f>
        <v>6.3000131127099165E-2</v>
      </c>
      <c r="O16" s="4">
        <f>'[6]a1(I)'!O$5</f>
        <v>1.9189177728797305E-2</v>
      </c>
      <c r="P16" s="4">
        <f>'[6]a1(I)'!P$5</f>
        <v>0</v>
      </c>
      <c r="Q16" s="27">
        <f>'[6]a1(I)'!Q$5</f>
        <v>6.095047436963668E-8</v>
      </c>
      <c r="S16" s="60">
        <v>5.3827934260104531</v>
      </c>
      <c r="T16" s="47">
        <v>9.5041555779701827</v>
      </c>
      <c r="U16" s="56">
        <v>0.21264392880893077</v>
      </c>
      <c r="W16" s="56">
        <f t="shared" si="32"/>
        <v>3.2500501475298281E-2</v>
      </c>
      <c r="Y16" s="12">
        <f t="shared" si="33"/>
        <v>1.4903854598070953E-2</v>
      </c>
      <c r="Z16" s="13">
        <f t="shared" si="17"/>
        <v>3.3849559202381758E-2</v>
      </c>
      <c r="AA16" s="13">
        <f t="shared" si="18"/>
        <v>7.8486030506130788E-2</v>
      </c>
      <c r="AB16" s="13">
        <f t="shared" si="19"/>
        <v>0.17492878369527959</v>
      </c>
      <c r="AC16" s="13">
        <f t="shared" si="20"/>
        <v>0.20191081003154909</v>
      </c>
      <c r="AD16" s="13">
        <f t="shared" si="21"/>
        <v>0.2076757672561102</v>
      </c>
      <c r="AE16" s="13">
        <f t="shared" si="22"/>
        <v>0.20895133240516708</v>
      </c>
      <c r="AF16" s="13">
        <f t="shared" si="23"/>
        <v>0.20435290712746659</v>
      </c>
      <c r="AG16" s="13">
        <f t="shared" si="24"/>
        <v>0.18009494211382809</v>
      </c>
      <c r="AH16" s="13">
        <f t="shared" si="25"/>
        <v>0.14099168401656942</v>
      </c>
      <c r="AI16" s="13">
        <f t="shared" si="26"/>
        <v>9.4631517592169118E-2</v>
      </c>
      <c r="AJ16" s="13">
        <f t="shared" si="27"/>
        <v>4.4618872408593496E-2</v>
      </c>
      <c r="AK16" s="13">
        <f t="shared" si="28"/>
        <v>1.6473508736288136E-2</v>
      </c>
      <c r="AL16" s="13">
        <f t="shared" si="29"/>
        <v>5.7530220990592408E-3</v>
      </c>
      <c r="AM16" s="26">
        <f t="shared" si="30"/>
        <v>2.3282354125789065E-3</v>
      </c>
      <c r="AO16" s="12">
        <f t="shared" si="31"/>
        <v>1.4903854598070953E-2</v>
      </c>
      <c r="AP16" s="13">
        <f t="shared" si="31"/>
        <v>1.1054988408060622E-2</v>
      </c>
      <c r="AQ16" s="13">
        <f t="shared" si="31"/>
        <v>-1.2304099472745897E-2</v>
      </c>
      <c r="AR16" s="13">
        <f t="shared" si="31"/>
        <v>4.5105277296761948E-3</v>
      </c>
      <c r="AS16" s="13">
        <f t="shared" si="31"/>
        <v>-4.0449493723436203E-3</v>
      </c>
      <c r="AT16" s="13">
        <f t="shared" si="31"/>
        <v>-7.6499483821687586E-4</v>
      </c>
      <c r="AU16" s="13">
        <f t="shared" si="31"/>
        <v>-6.4176595119774804E-3</v>
      </c>
      <c r="AV16" s="13">
        <f t="shared" si="31"/>
        <v>2.5709190284223526E-3</v>
      </c>
      <c r="AW16" s="13">
        <f t="shared" si="31"/>
        <v>4.5086817445618987E-3</v>
      </c>
      <c r="AX16" s="13">
        <f t="shared" si="31"/>
        <v>7.9946288507231345E-3</v>
      </c>
      <c r="AY16" s="13">
        <f t="shared" si="31"/>
        <v>2.7314683325327382E-3</v>
      </c>
      <c r="AZ16" s="13">
        <f t="shared" si="31"/>
        <v>-1.8381258718505669E-2</v>
      </c>
      <c r="BA16" s="13">
        <f t="shared" si="31"/>
        <v>-2.7156689925091695E-3</v>
      </c>
      <c r="BB16" s="13">
        <f t="shared" si="31"/>
        <v>5.7530220990592408E-3</v>
      </c>
      <c r="BC16" s="26">
        <f t="shared" si="31"/>
        <v>2.3281744621045371E-3</v>
      </c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65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  <c r="DQ16" s="65"/>
      <c r="DR16" s="65"/>
      <c r="DS16" s="65"/>
      <c r="DT16" s="65"/>
      <c r="DU16" s="65"/>
      <c r="DV16" s="65"/>
      <c r="DW16" s="65"/>
      <c r="DX16" s="65"/>
      <c r="DY16" s="65"/>
      <c r="DZ16" s="65"/>
      <c r="EA16" s="65"/>
      <c r="EB16" s="65"/>
      <c r="EC16" s="65"/>
      <c r="ED16" s="65"/>
      <c r="EE16" s="65"/>
      <c r="EF16" s="65"/>
      <c r="EG16" s="65"/>
    </row>
    <row r="17" spans="1:138" ht="15.75" x14ac:dyDescent="0.25">
      <c r="A17" s="98"/>
      <c r="B17" s="21" t="s">
        <v>3</v>
      </c>
      <c r="C17" s="8">
        <f t="shared" ref="C17:Q17" si="34">AVERAGE(C14:C16)</f>
        <v>2.2992008184529726E-6</v>
      </c>
      <c r="D17" s="9">
        <f t="shared" si="34"/>
        <v>2.5718465361103903E-2</v>
      </c>
      <c r="E17" s="9">
        <f t="shared" si="34"/>
        <v>9.8718737271443299E-2</v>
      </c>
      <c r="F17" s="9">
        <f t="shared" si="34"/>
        <v>0.18104155431931393</v>
      </c>
      <c r="G17" s="9">
        <f t="shared" si="34"/>
        <v>0.21058561173834445</v>
      </c>
      <c r="H17" s="9">
        <f t="shared" si="34"/>
        <v>0.2167545454547716</v>
      </c>
      <c r="I17" s="9">
        <f t="shared" si="34"/>
        <v>0.22859856449817348</v>
      </c>
      <c r="J17" s="9">
        <f t="shared" si="34"/>
        <v>0.2234051238172349</v>
      </c>
      <c r="K17" s="9">
        <f t="shared" si="34"/>
        <v>0.19642040044831921</v>
      </c>
      <c r="L17" s="9">
        <f t="shared" si="34"/>
        <v>0.14643779618759389</v>
      </c>
      <c r="M17" s="9">
        <f t="shared" si="34"/>
        <v>0.10846039039520612</v>
      </c>
      <c r="N17" s="9">
        <f t="shared" si="34"/>
        <v>6.8097783661787578E-2</v>
      </c>
      <c r="O17" s="9">
        <f t="shared" si="34"/>
        <v>3.3454558949446489E-2</v>
      </c>
      <c r="P17" s="9">
        <f t="shared" si="34"/>
        <v>8.233029226070868E-3</v>
      </c>
      <c r="Q17" s="28">
        <f t="shared" si="34"/>
        <v>4.5681322215413061E-3</v>
      </c>
      <c r="S17" s="49">
        <f t="shared" ref="S17:U17" si="35">AVERAGE(S14:S16)</f>
        <v>5.3713221300096068</v>
      </c>
      <c r="T17" s="50">
        <f t="shared" si="35"/>
        <v>9.596478293375327</v>
      </c>
      <c r="U17" s="28">
        <f t="shared" si="35"/>
        <v>0.22451211278498098</v>
      </c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65"/>
      <c r="CI17" s="65"/>
      <c r="CJ17" s="65"/>
      <c r="CK17" s="65"/>
      <c r="CL17" s="65"/>
      <c r="CM17" s="65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5"/>
      <c r="DD17" s="65"/>
      <c r="DE17" s="65"/>
      <c r="DF17" s="65"/>
      <c r="DG17" s="65"/>
      <c r="DH17" s="65"/>
      <c r="DI17" s="65"/>
      <c r="DJ17" s="65"/>
      <c r="DK17" s="65"/>
      <c r="DL17" s="65"/>
      <c r="DM17" s="65"/>
      <c r="DN17" s="65"/>
      <c r="DO17" s="65"/>
      <c r="DP17" s="65"/>
      <c r="DQ17" s="65"/>
      <c r="DR17" s="65"/>
      <c r="DS17" s="65"/>
      <c r="DT17" s="65"/>
      <c r="DU17" s="65"/>
      <c r="DV17" s="65"/>
      <c r="DW17" s="65"/>
      <c r="DX17" s="65"/>
      <c r="DY17" s="65"/>
      <c r="DZ17" s="65"/>
      <c r="EA17" s="65"/>
      <c r="EB17" s="65"/>
      <c r="EC17" s="65"/>
      <c r="ED17" s="65"/>
      <c r="EE17" s="65"/>
      <c r="EF17" s="65"/>
      <c r="EG17" s="65"/>
    </row>
    <row r="18" spans="1:138" ht="16.5" thickBot="1" x14ac:dyDescent="0.3">
      <c r="A18" s="98"/>
      <c r="B18" s="22" t="s">
        <v>4</v>
      </c>
      <c r="C18" s="12">
        <f t="shared" ref="C18:Q18" si="36">STDEV(C14:C16)</f>
        <v>3.9823326343644948E-6</v>
      </c>
      <c r="D18" s="13">
        <f t="shared" si="36"/>
        <v>1.1195450846214355E-2</v>
      </c>
      <c r="E18" s="13">
        <f t="shared" si="36"/>
        <v>8.3227248102999436E-3</v>
      </c>
      <c r="F18" s="13">
        <f t="shared" si="36"/>
        <v>1.551980145926744E-2</v>
      </c>
      <c r="G18" s="13">
        <f t="shared" si="36"/>
        <v>1.9235534411928504E-2</v>
      </c>
      <c r="H18" s="13">
        <f t="shared" si="36"/>
        <v>1.2241378266018526E-2</v>
      </c>
      <c r="I18" s="13">
        <f t="shared" si="36"/>
        <v>1.5679456745708347E-2</v>
      </c>
      <c r="J18" s="13">
        <f t="shared" si="36"/>
        <v>2.2519178070406536E-2</v>
      </c>
      <c r="K18" s="13">
        <f t="shared" si="36"/>
        <v>2.4024049848865373E-2</v>
      </c>
      <c r="L18" s="13">
        <f t="shared" si="36"/>
        <v>1.7585519467012995E-2</v>
      </c>
      <c r="M18" s="13">
        <f t="shared" si="36"/>
        <v>1.605371882541947E-2</v>
      </c>
      <c r="N18" s="13">
        <f t="shared" si="36"/>
        <v>9.5948237387496124E-3</v>
      </c>
      <c r="O18" s="13">
        <f t="shared" si="36"/>
        <v>1.2396640252952802E-2</v>
      </c>
      <c r="P18" s="13">
        <f t="shared" si="36"/>
        <v>1.4258773677294691E-2</v>
      </c>
      <c r="Q18" s="26">
        <f t="shared" si="36"/>
        <v>7.9121843188015434E-3</v>
      </c>
      <c r="S18" s="51">
        <f t="shared" ref="S18:U18" si="37">STDEV(S14:S16)</f>
        <v>3.1035564114145476E-2</v>
      </c>
      <c r="T18" s="52">
        <f t="shared" si="37"/>
        <v>8.7660064460419143E-2</v>
      </c>
      <c r="U18" s="26">
        <f t="shared" si="37"/>
        <v>1.6437803465549253E-2</v>
      </c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/>
      <c r="CC18" s="65"/>
      <c r="CD18" s="65"/>
      <c r="CE18" s="65"/>
      <c r="CF18" s="65"/>
      <c r="CG18" s="65"/>
      <c r="CH18" s="65"/>
      <c r="CI18" s="65"/>
      <c r="CJ18" s="65"/>
      <c r="CK18" s="65"/>
      <c r="CL18" s="65"/>
      <c r="CM18" s="65"/>
      <c r="CN18" s="65"/>
      <c r="CO18" s="65"/>
      <c r="CP18" s="65"/>
      <c r="CQ18" s="65"/>
      <c r="CR18" s="65"/>
      <c r="CS18" s="65"/>
      <c r="CT18" s="65"/>
      <c r="CU18" s="65"/>
      <c r="CV18" s="65"/>
      <c r="CW18" s="65"/>
      <c r="CX18" s="65"/>
      <c r="CY18" s="65"/>
      <c r="CZ18" s="65"/>
      <c r="DA18" s="65"/>
      <c r="DB18" s="65"/>
      <c r="DC18" s="65"/>
      <c r="DD18" s="65"/>
      <c r="DE18" s="65"/>
      <c r="DF18" s="65"/>
      <c r="DG18" s="65"/>
      <c r="DH18" s="65"/>
      <c r="DI18" s="65"/>
      <c r="DJ18" s="65"/>
      <c r="DK18" s="65"/>
      <c r="DL18" s="65"/>
      <c r="DM18" s="65"/>
      <c r="DN18" s="65"/>
      <c r="DO18" s="65"/>
      <c r="DP18" s="65"/>
      <c r="DQ18" s="65"/>
      <c r="DR18" s="65"/>
      <c r="DS18" s="65"/>
      <c r="DT18" s="65"/>
      <c r="DU18" s="65"/>
      <c r="DV18" s="65"/>
      <c r="DW18" s="65"/>
      <c r="DX18" s="65"/>
      <c r="DY18" s="65"/>
      <c r="DZ18" s="65"/>
      <c r="EA18" s="65"/>
      <c r="EB18" s="65"/>
      <c r="EC18" s="65"/>
      <c r="ED18" s="65"/>
      <c r="EE18" s="65"/>
      <c r="EF18" s="65"/>
      <c r="EG18" s="65"/>
    </row>
    <row r="19" spans="1:138" x14ac:dyDescent="0.25">
      <c r="A19" s="98"/>
      <c r="B19" s="7" t="s">
        <v>7</v>
      </c>
      <c r="C19" s="8">
        <f>C17/MAX($C$17:$Q$17)</f>
        <v>1.0057809520808882E-5</v>
      </c>
      <c r="D19" s="9">
        <f t="shared" ref="D19:Q19" si="38">D17/MAX($C$17:$Q$17)</f>
        <v>0.11250492940566735</v>
      </c>
      <c r="E19" s="9">
        <f t="shared" si="38"/>
        <v>0.4318432072753986</v>
      </c>
      <c r="F19" s="9">
        <f t="shared" si="38"/>
        <v>0.7919627785797424</v>
      </c>
      <c r="G19" s="9">
        <f t="shared" si="38"/>
        <v>0.92120268646755676</v>
      </c>
      <c r="H19" s="9">
        <f t="shared" si="38"/>
        <v>0.94818856772175175</v>
      </c>
      <c r="I19" s="9">
        <f t="shared" si="38"/>
        <v>1</v>
      </c>
      <c r="J19" s="9">
        <f t="shared" si="38"/>
        <v>0.97728139416649717</v>
      </c>
      <c r="K19" s="9">
        <f t="shared" si="38"/>
        <v>0.85923724359121523</v>
      </c>
      <c r="L19" s="9">
        <f t="shared" si="38"/>
        <v>0.64058930776340872</v>
      </c>
      <c r="M19" s="9">
        <f t="shared" si="38"/>
        <v>0.47445788049151433</v>
      </c>
      <c r="N19" s="9">
        <f t="shared" si="38"/>
        <v>0.29789243782557384</v>
      </c>
      <c r="O19" s="9">
        <f t="shared" si="38"/>
        <v>0.14634632121547636</v>
      </c>
      <c r="P19" s="9">
        <f t="shared" si="38"/>
        <v>3.6015227147835616E-2</v>
      </c>
      <c r="Q19" s="28">
        <f t="shared" si="38"/>
        <v>1.9983206069423089E-2</v>
      </c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K19" s="65"/>
      <c r="DL19" s="65"/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A19" s="65"/>
      <c r="EB19" s="65"/>
      <c r="EC19" s="65"/>
      <c r="ED19" s="65"/>
      <c r="EE19" s="65"/>
      <c r="EF19" s="65"/>
      <c r="EG19" s="65"/>
    </row>
    <row r="20" spans="1:138" ht="15.75" thickBot="1" x14ac:dyDescent="0.3">
      <c r="A20" s="99"/>
      <c r="B20" s="10" t="s">
        <v>4</v>
      </c>
      <c r="C20" s="12">
        <f>C18/MAX($C$17:$Q$17)</f>
        <v>1.7420637102890968E-5</v>
      </c>
      <c r="D20" s="13">
        <f t="shared" ref="D20:Q20" si="39">D18/MAX($C$17:$Q$17)</f>
        <v>4.8974283240977252E-2</v>
      </c>
      <c r="E20" s="13">
        <f t="shared" si="39"/>
        <v>3.6407598746607366E-2</v>
      </c>
      <c r="F20" s="13">
        <f t="shared" si="39"/>
        <v>6.7891071378059525E-2</v>
      </c>
      <c r="G20" s="13">
        <f t="shared" si="39"/>
        <v>8.414547332856151E-2</v>
      </c>
      <c r="H20" s="13">
        <f t="shared" si="39"/>
        <v>5.3549672513872396E-2</v>
      </c>
      <c r="I20" s="13">
        <f t="shared" si="39"/>
        <v>6.8589480341350206E-2</v>
      </c>
      <c r="J20" s="13">
        <f t="shared" si="39"/>
        <v>9.8509709016945585E-2</v>
      </c>
      <c r="K20" s="13">
        <f t="shared" si="39"/>
        <v>0.10509274151219496</v>
      </c>
      <c r="L20" s="13">
        <f t="shared" si="39"/>
        <v>7.6927514858272456E-2</v>
      </c>
      <c r="M20" s="13">
        <f t="shared" si="39"/>
        <v>7.0226682571962268E-2</v>
      </c>
      <c r="N20" s="13">
        <f t="shared" si="39"/>
        <v>4.1972370910606814E-2</v>
      </c>
      <c r="O20" s="13">
        <f t="shared" si="39"/>
        <v>5.4228863073424297E-2</v>
      </c>
      <c r="P20" s="13">
        <f t="shared" si="39"/>
        <v>6.2374729730241239E-2</v>
      </c>
      <c r="Q20" s="26">
        <f t="shared" si="39"/>
        <v>3.4611697305145427E-2</v>
      </c>
      <c r="S20" s="63">
        <v>0.5</v>
      </c>
      <c r="T20" s="63">
        <v>0.5</v>
      </c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K20" s="65"/>
      <c r="DL20" s="65"/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A20" s="65"/>
      <c r="EB20" s="65"/>
      <c r="EC20" s="65"/>
      <c r="ED20" s="65"/>
      <c r="EE20" s="65"/>
      <c r="EF20" s="65"/>
      <c r="EG20" s="65"/>
    </row>
    <row r="21" spans="1:138" ht="15.75" thickBot="1" x14ac:dyDescent="0.3">
      <c r="B21" s="17" t="s">
        <v>11</v>
      </c>
      <c r="C21" s="57">
        <f>(POWER(10, C$3-$S17)/(1 + POWER(10, C$3-$S17))) * (1 - POWER(10, C$3-$T17)/(1 + POWER(10, C$3-$T17)))</f>
        <v>7.18295969649871E-2</v>
      </c>
      <c r="D21" s="58">
        <f t="shared" ref="D21:Q21" si="40">(POWER(10, D$3-$S17)/(1 + POWER(10, D$3-$S17))) * (1 - POWER(10, D$3-$T17)/(1 + POWER(10, D$3-$T17)))</f>
        <v>0.16275189033636395</v>
      </c>
      <c r="E21" s="58">
        <f t="shared" si="40"/>
        <v>0.37527081947676949</v>
      </c>
      <c r="F21" s="58">
        <f t="shared" si="40"/>
        <v>0.82650754637926926</v>
      </c>
      <c r="G21" s="58">
        <f t="shared" si="40"/>
        <v>0.95100829283730337</v>
      </c>
      <c r="H21" s="58">
        <f t="shared" si="40"/>
        <v>0.97784020402456806</v>
      </c>
      <c r="I21" s="58">
        <f t="shared" si="40"/>
        <v>0.98471672579669212</v>
      </c>
      <c r="J21" s="58">
        <f t="shared" si="40"/>
        <v>0.96793672689532417</v>
      </c>
      <c r="K21" s="58">
        <f t="shared" si="40"/>
        <v>0.87245644642587128</v>
      </c>
      <c r="L21" s="58">
        <f t="shared" si="40"/>
        <v>0.70876660138891057</v>
      </c>
      <c r="M21" s="58">
        <f t="shared" si="40"/>
        <v>0.49794334333820711</v>
      </c>
      <c r="N21" s="58">
        <f t="shared" si="40"/>
        <v>0.24724206060665957</v>
      </c>
      <c r="O21" s="58">
        <f t="shared" si="40"/>
        <v>9.4093319602803663E-2</v>
      </c>
      <c r="P21" s="58">
        <f t="shared" si="40"/>
        <v>3.3249992929528384E-2</v>
      </c>
      <c r="Q21" s="59">
        <f t="shared" si="40"/>
        <v>1.3507400161717673E-2</v>
      </c>
      <c r="BE21" s="67">
        <f>(POWER(10, BE$3-$S17)/(1 + POWER(10, BE$3-$S17))) * (1 - POWER(10, BE$3-$T17)/(1 + POWER(10, BE$3-$T17)))</f>
        <v>4.0793307910116532E-2</v>
      </c>
      <c r="BF21" s="67">
        <f t="shared" ref="BF21:DQ21" si="41">(POWER(10, BF$3-$S17)/(1 + POWER(10, BF$3-$S17))) * (1 - POWER(10, BF$3-$T17)/(1 + POWER(10, BF$3-$T17)))</f>
        <v>5.0818925881857602E-2</v>
      </c>
      <c r="BG21" s="67">
        <f t="shared" si="41"/>
        <v>6.3146283279827159E-2</v>
      </c>
      <c r="BH21" s="67">
        <f t="shared" si="41"/>
        <v>7.8217502888688242E-2</v>
      </c>
      <c r="BI21" s="67">
        <f t="shared" si="41"/>
        <v>9.6515189539456883E-2</v>
      </c>
      <c r="BJ21" s="67">
        <f t="shared" si="41"/>
        <v>0.11854279348258547</v>
      </c>
      <c r="BK21" s="67">
        <f t="shared" si="41"/>
        <v>0.14479198238233354</v>
      </c>
      <c r="BL21" s="67">
        <f t="shared" si="41"/>
        <v>0.17569490497487</v>
      </c>
      <c r="BM21" s="67">
        <f t="shared" si="41"/>
        <v>0.21156159770081004</v>
      </c>
      <c r="BN21" s="67">
        <f t="shared" si="41"/>
        <v>0.25250695265035233</v>
      </c>
      <c r="BO21" s="67">
        <f t="shared" si="41"/>
        <v>0.29837732271701317</v>
      </c>
      <c r="BP21" s="67">
        <f t="shared" si="41"/>
        <v>0.34869254456953469</v>
      </c>
      <c r="BQ21" s="67">
        <f t="shared" si="41"/>
        <v>0.40262222970967698</v>
      </c>
      <c r="BR21" s="67">
        <f t="shared" si="41"/>
        <v>0.45901251491778361</v>
      </c>
      <c r="BS21" s="67">
        <f t="shared" si="41"/>
        <v>0.51646946070274002</v>
      </c>
      <c r="BT21" s="67">
        <f t="shared" si="41"/>
        <v>0.57348982902258594</v>
      </c>
      <c r="BU21" s="67">
        <f t="shared" si="41"/>
        <v>0.62861478154833106</v>
      </c>
      <c r="BV21" s="67">
        <f t="shared" si="41"/>
        <v>0.68057410444882926</v>
      </c>
      <c r="BW21" s="67">
        <f t="shared" si="41"/>
        <v>0.7283918825883936</v>
      </c>
      <c r="BX21" s="67">
        <f t="shared" si="41"/>
        <v>0.77143741920940656</v>
      </c>
      <c r="BY21" s="67">
        <f t="shared" si="41"/>
        <v>0.80942140282248454</v>
      </c>
      <c r="BZ21" s="67">
        <f t="shared" si="41"/>
        <v>0.84235012775245766</v>
      </c>
      <c r="CA21" s="67">
        <f t="shared" si="41"/>
        <v>0.87045633325784766</v>
      </c>
      <c r="CB21" s="67">
        <f t="shared" si="41"/>
        <v>0.89412425325668654</v>
      </c>
      <c r="CC21" s="67">
        <f t="shared" si="41"/>
        <v>0.91382150168675746</v>
      </c>
      <c r="CD21" s="67">
        <f t="shared" si="41"/>
        <v>0.93004448430613951</v>
      </c>
      <c r="CE21" s="67">
        <f t="shared" si="41"/>
        <v>0.94327912797468649</v>
      </c>
      <c r="CF21" s="67">
        <f t="shared" si="41"/>
        <v>0.9539755953917245</v>
      </c>
      <c r="CG21" s="67">
        <f t="shared" si="41"/>
        <v>0.9625341804416655</v>
      </c>
      <c r="CH21" s="67">
        <f t="shared" si="41"/>
        <v>0.96929926246832332</v>
      </c>
      <c r="CI21" s="67">
        <f t="shared" si="41"/>
        <v>0.97455852059843517</v>
      </c>
      <c r="CJ21" s="67">
        <f t="shared" si="41"/>
        <v>0.9785451861256238</v>
      </c>
      <c r="CK21" s="67">
        <f t="shared" si="41"/>
        <v>0.98144171099937483</v>
      </c>
      <c r="CL21" s="67">
        <f t="shared" si="41"/>
        <v>0.98338374380202775</v>
      </c>
      <c r="CM21" s="67">
        <f t="shared" si="41"/>
        <v>0.98446369768820086</v>
      </c>
      <c r="CN21" s="67">
        <f t="shared" si="41"/>
        <v>0.98473347413936918</v>
      </c>
      <c r="CO21" s="67">
        <f t="shared" si="41"/>
        <v>0.98420609549288718</v>
      </c>
      <c r="CP21" s="67">
        <f t="shared" si="41"/>
        <v>0.98285612607361672</v>
      </c>
      <c r="CQ21" s="67">
        <f t="shared" si="41"/>
        <v>0.98061885392063675</v>
      </c>
      <c r="CR21" s="67">
        <f t="shared" si="41"/>
        <v>0.97738828861948235</v>
      </c>
      <c r="CS21" s="67">
        <f t="shared" si="41"/>
        <v>0.97301413118265279</v>
      </c>
      <c r="CT21" s="67">
        <f t="shared" si="41"/>
        <v>0.96729801575330321</v>
      </c>
      <c r="CU21" s="67">
        <f t="shared" si="41"/>
        <v>0.95998953808593857</v>
      </c>
      <c r="CV21" s="67">
        <f t="shared" si="41"/>
        <v>0.9507828996707014</v>
      </c>
      <c r="CW21" s="67">
        <f t="shared" si="41"/>
        <v>0.93931542880587471</v>
      </c>
      <c r="CX21" s="67">
        <f t="shared" si="41"/>
        <v>0.92516978765833524</v>
      </c>
      <c r="CY21" s="67">
        <f t="shared" si="41"/>
        <v>0.90788228382373404</v>
      </c>
      <c r="CZ21" s="67">
        <f t="shared" si="41"/>
        <v>0.886960232226916</v>
      </c>
      <c r="DA21" s="67">
        <f t="shared" si="41"/>
        <v>0.86191147977389981</v>
      </c>
      <c r="DB21" s="67">
        <f t="shared" si="41"/>
        <v>0.83228857612592499</v>
      </c>
      <c r="DC21" s="67">
        <f t="shared" si="41"/>
        <v>0.79774811495798392</v>
      </c>
      <c r="DD21" s="67">
        <f t="shared" si="41"/>
        <v>0.75812205768538876</v>
      </c>
      <c r="DE21" s="67">
        <f t="shared" si="41"/>
        <v>0.71349248172313273</v>
      </c>
      <c r="DF21" s="67">
        <f t="shared" si="41"/>
        <v>0.66425529106938719</v>
      </c>
      <c r="DG21" s="67">
        <f t="shared" si="41"/>
        <v>0.6111543920965975</v>
      </c>
      <c r="DH21" s="67">
        <f t="shared" si="41"/>
        <v>0.55526880419487989</v>
      </c>
      <c r="DI21" s="67">
        <f t="shared" si="41"/>
        <v>0.49794334333821832</v>
      </c>
      <c r="DJ21" s="67">
        <f t="shared" si="41"/>
        <v>0.44066800990845412</v>
      </c>
      <c r="DK21" s="67">
        <f t="shared" si="41"/>
        <v>0.38492714618119417</v>
      </c>
      <c r="DL21" s="67">
        <f t="shared" si="41"/>
        <v>0.3320497529058109</v>
      </c>
      <c r="DM21" s="67">
        <f t="shared" si="41"/>
        <v>0.28309194354053629</v>
      </c>
      <c r="DN21" s="67">
        <f t="shared" si="41"/>
        <v>0.23877157929000431</v>
      </c>
      <c r="DO21" s="67">
        <f t="shared" si="41"/>
        <v>0.19945906868024013</v>
      </c>
      <c r="DP21" s="67">
        <f t="shared" si="41"/>
        <v>0.16521415032606088</v>
      </c>
      <c r="DQ21" s="67">
        <f t="shared" si="41"/>
        <v>0.13585083266313019</v>
      </c>
      <c r="DR21" s="67">
        <f t="shared" ref="DR21:EG21" si="42">(POWER(10, DR$3-$S17)/(1 + POWER(10, DR$3-$S17))) * (1 - POWER(10, DR$3-$T17)/(1 + POWER(10, DR$3-$T17)))</f>
        <v>0.1110121437350199</v>
      </c>
      <c r="DS21" s="67">
        <f t="shared" si="42"/>
        <v>9.0240609677307043E-2</v>
      </c>
      <c r="DT21" s="67">
        <f t="shared" si="42"/>
        <v>7.3036309184887974E-2</v>
      </c>
      <c r="DU21" s="67">
        <f t="shared" si="42"/>
        <v>5.8899623766162715E-2</v>
      </c>
      <c r="DV21" s="67">
        <f t="shared" si="42"/>
        <v>4.735938324577324E-2</v>
      </c>
      <c r="DW21" s="67">
        <f t="shared" si="42"/>
        <v>3.7988950201959658E-2</v>
      </c>
      <c r="DX21" s="67">
        <f t="shared" si="42"/>
        <v>3.0413338053853007E-2</v>
      </c>
      <c r="DY21" s="67">
        <f t="shared" si="42"/>
        <v>2.4310247298906542E-2</v>
      </c>
      <c r="DZ21" s="67">
        <f t="shared" si="42"/>
        <v>1.9407357315639199E-2</v>
      </c>
      <c r="EA21" s="67">
        <f t="shared" si="42"/>
        <v>1.5477595211044835E-2</v>
      </c>
      <c r="EB21" s="67">
        <f t="shared" si="42"/>
        <v>1.2333554743739369E-2</v>
      </c>
      <c r="EC21" s="67">
        <f t="shared" si="42"/>
        <v>9.8218069080128218E-3</v>
      </c>
      <c r="ED21" s="67">
        <f t="shared" si="42"/>
        <v>7.8175314480796558E-3</v>
      </c>
      <c r="EE21" s="67">
        <f t="shared" si="42"/>
        <v>6.2196868544156896E-3</v>
      </c>
      <c r="EF21" s="67">
        <f t="shared" si="42"/>
        <v>4.9468012779632156E-3</v>
      </c>
      <c r="EG21" s="67">
        <f t="shared" si="42"/>
        <v>3.9333860623031944E-3</v>
      </c>
      <c r="EH21" s="68">
        <f>MAX(BE21:EG21)</f>
        <v>0.98473347413936918</v>
      </c>
    </row>
    <row r="22" spans="1:138" ht="15.75" thickBot="1" x14ac:dyDescent="0.3">
      <c r="BE22" s="83">
        <f>BE21*MAX($C17:$Q17)</f>
        <v>9.3252916293846237E-3</v>
      </c>
      <c r="BF22" s="83">
        <f t="shared" ref="BF22" si="43">BF21*MAX($C17:$Q17)</f>
        <v>1.1617133505931722E-2</v>
      </c>
      <c r="BG22" s="83">
        <f t="shared" ref="BG22" si="44">BG21*MAX($C17:$Q17)</f>
        <v>1.4435149711163503E-2</v>
      </c>
      <c r="BH22" s="83">
        <f t="shared" ref="BH22" si="45">BH21*MAX($C17:$Q17)</f>
        <v>1.7880408878985871E-2</v>
      </c>
      <c r="BI22" s="83">
        <f t="shared" ref="BI22" si="46">BI21*MAX($C17:$Q17)</f>
        <v>2.2063233780988973E-2</v>
      </c>
      <c r="BJ22" s="83">
        <f t="shared" ref="BJ22" si="47">BJ21*MAX($C17:$Q17)</f>
        <v>2.7098712421722473E-2</v>
      </c>
      <c r="BK22" s="83">
        <f t="shared" ref="BK22" si="48">BK21*MAX($C17:$Q17)</f>
        <v>3.3099239323446272E-2</v>
      </c>
      <c r="BL22" s="83">
        <f t="shared" ref="BL22" si="49">BL21*MAX($C17:$Q17)</f>
        <v>4.0163603066898278E-2</v>
      </c>
      <c r="BM22" s="83">
        <f t="shared" ref="BM22" si="50">BM21*MAX($C17:$Q17)</f>
        <v>4.8362677537345251E-2</v>
      </c>
      <c r="BN22" s="83">
        <f t="shared" ref="BN22" si="51">BN21*MAX($C17:$Q17)</f>
        <v>5.7722726901678803E-2</v>
      </c>
      <c r="BO22" s="83">
        <f t="shared" ref="BO22" si="52">BO21*MAX($C17:$Q17)</f>
        <v>6.8208627651917458E-2</v>
      </c>
      <c r="BP22" s="83">
        <f t="shared" ref="BP22" si="53">BP21*MAX($C17:$Q17)</f>
        <v>7.9710615139811009E-2</v>
      </c>
      <c r="BQ22" s="83">
        <f t="shared" ref="BQ22" si="54">BQ21*MAX($C17:$Q17)</f>
        <v>9.2038863746686017E-2</v>
      </c>
      <c r="BR22" s="83">
        <f t="shared" ref="BR22" si="55">BR21*MAX($C17:$Q17)</f>
        <v>0.10492960199690177</v>
      </c>
      <c r="BS22" s="83">
        <f t="shared" ref="BS22" si="56">BS21*MAX($C17:$Q17)</f>
        <v>0.11806417732379219</v>
      </c>
      <c r="BT22" s="83">
        <f t="shared" ref="BT22" si="57">BT21*MAX($C17:$Q17)</f>
        <v>0.13109895166886609</v>
      </c>
      <c r="BU22" s="83">
        <f t="shared" ref="BU22" si="58">BU21*MAX($C17:$Q17)</f>
        <v>0.1437004366842814</v>
      </c>
      <c r="BV22" s="83">
        <f t="shared" ref="BV22" si="59">BV21*MAX($C17:$Q17)</f>
        <v>0.15557826331163235</v>
      </c>
      <c r="BW22" s="83">
        <f t="shared" ref="BW22" si="60">BW21*MAX($C17:$Q17)</f>
        <v>0.16650933875182891</v>
      </c>
      <c r="BX22" s="83">
        <f t="shared" ref="BX22" si="61">BX21*MAX($C17:$Q17)</f>
        <v>0.17634948663144601</v>
      </c>
      <c r="BY22" s="83">
        <f t="shared" ref="BY22" si="62">BY21*MAX($C17:$Q17)</f>
        <v>0.18503257075931778</v>
      </c>
      <c r="BZ22" s="83">
        <f t="shared" ref="BZ22" si="63">BZ21*MAX($C17:$Q17)</f>
        <v>0.19256003000906485</v>
      </c>
      <c r="CA22" s="83">
        <f t="shared" ref="CA22" si="64">CA21*MAX($C17:$Q17)</f>
        <v>0.19898506824108766</v>
      </c>
      <c r="CB22" s="83">
        <f t="shared" ref="CB22" si="65">CB21*MAX($C17:$Q17)</f>
        <v>0.20439552077747986</v>
      </c>
      <c r="CC22" s="83">
        <f t="shared" ref="CC22" si="66">CC21*MAX($C17:$Q17)</f>
        <v>0.20889828349315798</v>
      </c>
      <c r="CD22" s="83">
        <f t="shared" ref="CD22" si="67">CD21*MAX($C17:$Q17)</f>
        <v>0.21260683403182754</v>
      </c>
      <c r="CE22" s="83">
        <f t="shared" ref="CE22" si="68">CE21*MAX($C17:$Q17)</f>
        <v>0.21563225457610222</v>
      </c>
      <c r="CF22" s="83">
        <f t="shared" ref="CF22" si="69">CF21*MAX($C17:$Q17)</f>
        <v>0.21807745167283857</v>
      </c>
      <c r="CG22" s="83">
        <f t="shared" ref="CG22" si="70">CG21*MAX($C17:$Q17)</f>
        <v>0.22003393192939061</v>
      </c>
      <c r="CH22" s="83">
        <f t="shared" ref="CH22" si="71">CH21*MAX($C17:$Q17)</f>
        <v>0.22158041996939698</v>
      </c>
      <c r="CI22" s="83">
        <f t="shared" ref="CI22" si="72">CI21*MAX($C17:$Q17)</f>
        <v>0.22278267882826591</v>
      </c>
      <c r="CJ22" s="83">
        <f t="shared" ref="CJ22" si="73">CJ21*MAX($C17:$Q17)</f>
        <v>0.22369402484491557</v>
      </c>
      <c r="CK22" s="83">
        <f t="shared" ref="CK22" si="74">CK21*MAX($C17:$Q17)</f>
        <v>0.22435616627308833</v>
      </c>
      <c r="CL22" s="83">
        <f t="shared" ref="CL22" si="75">CL21*MAX($C17:$Q17)</f>
        <v>0.22480011218398316</v>
      </c>
      <c r="CM22" s="83">
        <f t="shared" ref="CM22" si="76">CM21*MAX($C17:$Q17)</f>
        <v>0.22504698809208654</v>
      </c>
      <c r="CN22" s="83">
        <f t="shared" ref="CN22" si="77">CN21*MAX($C17:$Q17)</f>
        <v>0.22510865860155904</v>
      </c>
      <c r="CO22" s="83">
        <f t="shared" ref="CO22" si="78">CO21*MAX($C17:$Q17)</f>
        <v>0.22498810060002625</v>
      </c>
      <c r="CP22" s="83">
        <f t="shared" ref="CP22" si="79">CP21*MAX($C17:$Q17)</f>
        <v>0.22467949952866459</v>
      </c>
      <c r="CQ22" s="83">
        <f t="shared" ref="CQ22" si="80">CQ21*MAX($C17:$Q17)</f>
        <v>0.22416806232610165</v>
      </c>
      <c r="CR22" s="83">
        <f t="shared" ref="CR22" si="81">CR21*MAX($C17:$Q17)</f>
        <v>0.22342955973574014</v>
      </c>
      <c r="CS22" s="83">
        <f t="shared" ref="CS22" si="82">CS21*MAX($C17:$Q17)</f>
        <v>0.22242963362479187</v>
      </c>
      <c r="CT22" s="83">
        <f t="shared" ref="CT22" si="83">CT21*MAX($C17:$Q17)</f>
        <v>0.22112293784313672</v>
      </c>
      <c r="CU22" s="83">
        <f t="shared" ref="CU22" si="84">CU21*MAX($C17:$Q17)</f>
        <v>0.2194522303397102</v>
      </c>
      <c r="CV22" s="83">
        <f t="shared" ref="CV22" si="85">CV21*MAX($C17:$Q17)</f>
        <v>0.21734760601413325</v>
      </c>
      <c r="CW22" s="83">
        <f t="shared" ref="CW22" si="86">CW21*MAX($C17:$Q17)</f>
        <v>0.21472615863600922</v>
      </c>
      <c r="CX22" s="83">
        <f t="shared" ref="CX22" si="87">CX21*MAX($C17:$Q17)</f>
        <v>0.21149248537577542</v>
      </c>
      <c r="CY22" s="83">
        <f t="shared" ref="CY22" si="88">CY21*MAX($C17:$Q17)</f>
        <v>0.20754058681542892</v>
      </c>
      <c r="CZ22" s="83">
        <f t="shared" ref="CZ22" si="89">CZ21*MAX($C17:$Q17)</f>
        <v>0.20275783585403959</v>
      </c>
      <c r="DA22" s="83">
        <f t="shared" ref="DA22" si="90">DA21*MAX($C17:$Q17)</f>
        <v>0.19703172700080998</v>
      </c>
      <c r="DB22" s="83">
        <f t="shared" ref="DB22" si="91">DB21*MAX($C17:$Q17)</f>
        <v>0.19025997375061524</v>
      </c>
      <c r="DC22" s="83">
        <f t="shared" ref="DC22" si="92">DC21*MAX($C17:$Q17)</f>
        <v>0.18236407391051901</v>
      </c>
      <c r="DD22" s="83">
        <f t="shared" ref="DD22" si="93">DD21*MAX($C17:$Q17)</f>
        <v>0.17330561410128134</v>
      </c>
      <c r="DE22" s="83">
        <f t="shared" ref="DE22" si="94">DE21*MAX($C17:$Q17)</f>
        <v>0.16310335710214741</v>
      </c>
      <c r="DF22" s="83">
        <f t="shared" ref="DF22" si="95">DF21*MAX($C17:$Q17)</f>
        <v>0.15184780599877831</v>
      </c>
      <c r="DG22" s="83">
        <f t="shared" ref="DG22" si="96">DG21*MAX($C17:$Q17)</f>
        <v>0.13970901672003605</v>
      </c>
      <c r="DH22" s="83">
        <f t="shared" ref="DH22" si="97">DH21*MAX($C17:$Q17)</f>
        <v>0.1269336515495669</v>
      </c>
      <c r="DI22" s="83">
        <f t="shared" ref="DI22" si="98">DI21*MAX($C17:$Q17)</f>
        <v>0.11382913348853785</v>
      </c>
      <c r="DJ22" s="83">
        <f t="shared" ref="DJ22" si="99">DJ21*MAX($C17:$Q17)</f>
        <v>0.1007360744853395</v>
      </c>
      <c r="DK22" s="83">
        <f t="shared" ref="DK22" si="100">DK21*MAX($C17:$Q17)</f>
        <v>8.7993793053399563E-2</v>
      </c>
      <c r="DL22" s="83">
        <f t="shared" ref="DL22" si="101">DL21*MAX($C17:$Q17)</f>
        <v>7.5906096856241584E-2</v>
      </c>
      <c r="DM22" s="83">
        <f t="shared" ref="DM22" si="102">DM21*MAX($C17:$Q17)</f>
        <v>6.471441191436457E-2</v>
      </c>
      <c r="DN22" s="83">
        <f t="shared" ref="DN22" si="103">DN21*MAX($C17:$Q17)</f>
        <v>5.4582840268656792E-2</v>
      </c>
      <c r="DO22" s="83">
        <f t="shared" ref="DO22" si="104">DO21*MAX($C17:$Q17)</f>
        <v>4.5596056776445487E-2</v>
      </c>
      <c r="DP22" s="83">
        <f t="shared" ref="DP22" si="105">DP21*MAX($C17:$Q17)</f>
        <v>3.7767717599322959E-2</v>
      </c>
      <c r="DQ22" s="83">
        <f t="shared" ref="DQ22" si="106">DQ21*MAX($C17:$Q17)</f>
        <v>3.1055305332673141E-2</v>
      </c>
      <c r="DR22" s="83">
        <f t="shared" ref="DR22" si="107">DR21*MAX($C17:$Q17)</f>
        <v>2.5377216699690452E-2</v>
      </c>
      <c r="DS22" s="83">
        <f t="shared" ref="DS22" si="108">DS21*MAX($C17:$Q17)</f>
        <v>2.0628873831672372E-2</v>
      </c>
      <c r="DT22" s="83">
        <f t="shared" ref="DT22" si="109">DT21*MAX($C17:$Q17)</f>
        <v>1.6695995435910153E-2</v>
      </c>
      <c r="DU22" s="83">
        <f t="shared" ref="DU22" si="110">DU21*MAX($C17:$Q17)</f>
        <v>1.3464369442427298E-2</v>
      </c>
      <c r="DV22" s="83">
        <f t="shared" ref="DV22" si="111">DV21*MAX($C17:$Q17)</f>
        <v>1.0826287025502611E-2</v>
      </c>
      <c r="DW22" s="83">
        <f t="shared" ref="DW22" si="112">DW21*MAX($C17:$Q17)</f>
        <v>8.684219482960576E-3</v>
      </c>
      <c r="DX22" s="83">
        <f t="shared" ref="DX22" si="113">DX21*MAX($C17:$Q17)</f>
        <v>6.9524454207084705E-3</v>
      </c>
      <c r="DY22" s="83">
        <f t="shared" ref="DY22" si="114">DY21*MAX($C17:$Q17)</f>
        <v>5.5572876351256345E-3</v>
      </c>
      <c r="DZ22" s="83">
        <f t="shared" ref="DZ22" si="115">DZ21*MAX($C17:$Q17)</f>
        <v>4.4364940230582463E-3</v>
      </c>
      <c r="EA22" s="83">
        <f t="shared" ref="EA22" si="116">EA21*MAX($C17:$Q17)</f>
        <v>3.5381560471286536E-3</v>
      </c>
      <c r="EB22" s="83">
        <f t="shared" ref="EB22" si="117">EB21*MAX($C17:$Q17)</f>
        <v>2.8194329095784574E-3</v>
      </c>
      <c r="EC22" s="83">
        <f t="shared" ref="EC22" si="118">EC21*MAX($C17:$Q17)</f>
        <v>2.2452509599499748E-3</v>
      </c>
      <c r="ED22" s="83">
        <f t="shared" ref="ED22" si="119">ED21*MAX($C17:$Q17)</f>
        <v>1.7870764669503368E-3</v>
      </c>
      <c r="EE22" s="83">
        <f t="shared" ref="EE22" si="120">EE21*MAX($C17:$Q17)</f>
        <v>1.4218114865475868E-3</v>
      </c>
      <c r="EF22" s="83">
        <f t="shared" ref="EF22" si="121">EF21*MAX($C17:$Q17)</f>
        <v>1.130831671000121E-3</v>
      </c>
      <c r="EG22" s="83">
        <f t="shared" ref="EG22" si="122">EG21*MAX($C17:$Q17)</f>
        <v>8.9916640745963338E-4</v>
      </c>
      <c r="EH22" s="88">
        <f>MAX(BE22:EG22)</f>
        <v>0.22510865860155904</v>
      </c>
    </row>
    <row r="23" spans="1:138" x14ac:dyDescent="0.25">
      <c r="A23" s="100" t="s">
        <v>9</v>
      </c>
      <c r="B23" s="21" t="s">
        <v>0</v>
      </c>
      <c r="C23" s="33">
        <f>'[7]a1(I)'!C$7</f>
        <v>3.485329687364648E-3</v>
      </c>
      <c r="D23" s="34">
        <f>'[7]a1(I)'!D$7</f>
        <v>2.5190054772250156E-2</v>
      </c>
      <c r="E23" s="34">
        <f>'[7]a1(I)'!E$7</f>
        <v>8.6353520509197937E-2</v>
      </c>
      <c r="F23" s="34">
        <f>'[7]a1(I)'!F$7</f>
        <v>0.15481641033754892</v>
      </c>
      <c r="G23" s="34">
        <f>'[7]a1(I)'!G$7</f>
        <v>0.19072159915995299</v>
      </c>
      <c r="H23" s="34">
        <f>'[7]a1(I)'!H$7</f>
        <v>0.19947842638456767</v>
      </c>
      <c r="I23" s="34">
        <f>'[7]a1(I)'!I$7</f>
        <v>0.21138567548201273</v>
      </c>
      <c r="J23" s="34">
        <f>'[7]a1(I)'!J$7</f>
        <v>0.21982782043723434</v>
      </c>
      <c r="K23" s="34">
        <f>'[7]a1(I)'!K$7</f>
        <v>0.18512094330317985</v>
      </c>
      <c r="L23" s="34">
        <f>'[7]a1(I)'!L$7</f>
        <v>0.1222974779899947</v>
      </c>
      <c r="M23" s="34">
        <f>'[7]a1(I)'!M$7</f>
        <v>8.9867714668246182E-2</v>
      </c>
      <c r="N23" s="34">
        <f>'[7]a1(I)'!N$7</f>
        <v>5.6957281178595609E-2</v>
      </c>
      <c r="O23" s="34">
        <f>'[7]a1(I)'!O$7</f>
        <v>4.0222281735646272E-2</v>
      </c>
      <c r="P23" s="34">
        <f>'[7]a1(I)'!P$7</f>
        <v>1.9220317668360482E-2</v>
      </c>
      <c r="Q23" s="35">
        <f>'[7]a1(I)'!Q$7</f>
        <v>6.6618749744951225E-3</v>
      </c>
      <c r="R23" s="11"/>
      <c r="S23" s="61">
        <v>5.4460324997762637</v>
      </c>
      <c r="T23" s="45">
        <v>9.5220740543188729</v>
      </c>
      <c r="U23" s="54">
        <v>0.20980045607382392</v>
      </c>
      <c r="W23" s="54">
        <f>SQRT(SUMSQ(AO23:BC23))</f>
        <v>4.742190936227466E-2</v>
      </c>
      <c r="Y23" s="23">
        <f>$U23 * (POWER(10, C$3-$S23)/(1 + POWER(10, C$3-$S23))) * (1 - POWER(10, C$3-$T23)/(1 + POWER(10, C$3-$T23)))</f>
        <v>1.2833867002444889E-2</v>
      </c>
      <c r="Z23" s="24">
        <f t="shared" ref="Z23:Z25" si="123">$U23 * (POWER(10, D$3-$S23)/(1 + POWER(10, D$3-$S23))) * (1 - POWER(10, D$3-$T23)/(1 + POWER(10, D$3-$T23)))</f>
        <v>2.950790293823442E-2</v>
      </c>
      <c r="AA23" s="24">
        <f t="shared" ref="AA23:AA25" si="124">$U23 * (POWER(10, E$3-$S23)/(1 + POWER(10, E$3-$S23))) * (1 - POWER(10, E$3-$T23)/(1 + POWER(10, E$3-$T23)))</f>
        <v>7.0468009121877437E-2</v>
      </c>
      <c r="AB23" s="24">
        <f t="shared" ref="AB23:AB25" si="125">$U23 * (POWER(10, F$3-$S23)/(1 + POWER(10, F$3-$S23))) * (1 - POWER(10, F$3-$T23)/(1 + POWER(10, F$3-$T23)))</f>
        <v>0.16793097701761342</v>
      </c>
      <c r="AC23" s="24">
        <f t="shared" ref="AC23:AC25" si="126">$U23 * (POWER(10, G$3-$S23)/(1 + POWER(10, G$3-$S23))) * (1 - POWER(10, G$3-$T23)/(1 + POWER(10, G$3-$T23)))</f>
        <v>0.19770156653177509</v>
      </c>
      <c r="AD23" s="24">
        <f t="shared" ref="AD23:AD25" si="127">$U23 * (POWER(10, H$3-$S23)/(1 + POWER(10, H$3-$S23))) * (1 - POWER(10, H$3-$T23)/(1 + POWER(10, H$3-$T23)))</f>
        <v>0.20429938329582875</v>
      </c>
      <c r="AE23" s="24">
        <f t="shared" ref="AE23:AE25" si="128">$U23 * (POWER(10, I$3-$S23)/(1 + POWER(10, I$3-$S23))) * (1 - POWER(10, I$3-$T23)/(1 + POWER(10, I$3-$T23)))</f>
        <v>0.206001746185799</v>
      </c>
      <c r="AF23" s="24">
        <f t="shared" ref="AF23:AF25" si="129">$U23 * (POWER(10, J$3-$S23)/(1 + POWER(10, J$3-$S23))) * (1 - POWER(10, J$3-$T23)/(1 + POWER(10, J$3-$T23)))</f>
        <v>0.20186115879052804</v>
      </c>
      <c r="AG23" s="24">
        <f t="shared" ref="AG23:AG25" si="130">$U23 * (POWER(10, K$3-$S23)/(1 + POWER(10, K$3-$S23))) * (1 - POWER(10, K$3-$T23)/(1 + POWER(10, K$3-$T23)))</f>
        <v>0.17877855075879021</v>
      </c>
      <c r="AH23" s="24">
        <f t="shared" ref="AH23:AH25" si="131">$U23 * (POWER(10, L$3-$S23)/(1 + POWER(10, L$3-$S23))) * (1 - POWER(10, L$3-$T23)/(1 + POWER(10, L$3-$T23)))</f>
        <v>0.14102321978350343</v>
      </c>
      <c r="AI23" s="24">
        <f t="shared" ref="AI23:AI25" si="132">$U23 * (POWER(10, M$3-$S23)/(1 + POWER(10, M$3-$S23))) * (1 - POWER(10, M$3-$T23)/(1 + POWER(10, M$3-$T23)))</f>
        <v>9.5507514164887217E-2</v>
      </c>
      <c r="AJ23" s="24">
        <f t="shared" ref="AJ23:AJ25" si="133">$U23 * (POWER(10, N$3-$S23)/(1 + POWER(10, N$3-$S23))) * (1 - POWER(10, N$3-$T23)/(1 + POWER(10, N$3-$T23)))</f>
        <v>4.5474451573604198E-2</v>
      </c>
      <c r="AK23" s="24">
        <f t="shared" ref="AK23:AK25" si="134">$U23 * (POWER(10, O$3-$S23)/(1 + POWER(10, O$3-$S23))) * (1 - POWER(10, O$3-$T23)/(1 + POWER(10, O$3-$T23)))</f>
        <v>1.6882731580003498E-2</v>
      </c>
      <c r="AL23" s="24">
        <f t="shared" ref="AL23:AL25" si="135">$U23 * (POWER(10, P$3-$S23)/(1 + POWER(10, P$3-$S23))) * (1 - POWER(10, P$3-$T23)/(1 + POWER(10, P$3-$T23)))</f>
        <v>5.9084447315577724E-3</v>
      </c>
      <c r="AM23" s="25">
        <f t="shared" ref="AM23:AM25" si="136">$U23 * (POWER(10, Q$3-$S23)/(1 + POWER(10, Q$3-$S23))) * (1 - POWER(10, Q$3-$T23)/(1 + POWER(10, Q$3-$T23)))</f>
        <v>2.3927564937900065E-3</v>
      </c>
      <c r="AO23" s="23">
        <f t="shared" ref="AO23:BC25" si="137">Y23-C23</f>
        <v>9.3485373150802402E-3</v>
      </c>
      <c r="AP23" s="24">
        <f t="shared" si="137"/>
        <v>4.3178481659842637E-3</v>
      </c>
      <c r="AQ23" s="24">
        <f t="shared" si="137"/>
        <v>-1.58855113873205E-2</v>
      </c>
      <c r="AR23" s="24">
        <f t="shared" si="137"/>
        <v>1.3114566680064499E-2</v>
      </c>
      <c r="AS23" s="24">
        <f t="shared" si="137"/>
        <v>6.9799673718221045E-3</v>
      </c>
      <c r="AT23" s="24">
        <f t="shared" si="137"/>
        <v>4.8209569112610817E-3</v>
      </c>
      <c r="AU23" s="24">
        <f t="shared" si="137"/>
        <v>-5.3839292962137297E-3</v>
      </c>
      <c r="AV23" s="24">
        <f t="shared" si="137"/>
        <v>-1.7966661646706295E-2</v>
      </c>
      <c r="AW23" s="24">
        <f t="shared" si="137"/>
        <v>-6.3423925443896467E-3</v>
      </c>
      <c r="AX23" s="24">
        <f t="shared" si="137"/>
        <v>1.8725741793508735E-2</v>
      </c>
      <c r="AY23" s="24">
        <f t="shared" si="137"/>
        <v>5.6397994966410347E-3</v>
      </c>
      <c r="AZ23" s="24">
        <f t="shared" si="137"/>
        <v>-1.1482829604991411E-2</v>
      </c>
      <c r="BA23" s="24">
        <f t="shared" si="137"/>
        <v>-2.3339550155642774E-2</v>
      </c>
      <c r="BB23" s="24">
        <f t="shared" si="137"/>
        <v>-1.3311872936802711E-2</v>
      </c>
      <c r="BC23" s="25">
        <f t="shared" si="137"/>
        <v>-4.269118480705116E-3</v>
      </c>
      <c r="BE23" s="65"/>
      <c r="BF23" s="65"/>
      <c r="BG23" s="65"/>
      <c r="BH23" s="65"/>
      <c r="BI23" s="65"/>
      <c r="BJ23" s="65"/>
      <c r="BK23" s="65"/>
      <c r="BL23" s="65"/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65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5"/>
      <c r="DD23" s="65"/>
      <c r="DE23" s="65"/>
      <c r="DF23" s="65"/>
      <c r="DG23" s="65"/>
      <c r="DH23" s="65"/>
      <c r="DI23" s="65"/>
      <c r="DJ23" s="65"/>
      <c r="DK23" s="65"/>
      <c r="DL23" s="65"/>
      <c r="DM23" s="65"/>
      <c r="DN23" s="65"/>
      <c r="DO23" s="65"/>
      <c r="DP23" s="65"/>
      <c r="DQ23" s="65"/>
      <c r="DR23" s="65"/>
      <c r="DS23" s="65"/>
      <c r="DT23" s="65"/>
      <c r="DU23" s="65"/>
      <c r="DV23" s="65"/>
      <c r="DW23" s="65"/>
      <c r="DX23" s="65"/>
      <c r="DY23" s="65"/>
      <c r="DZ23" s="65"/>
      <c r="EA23" s="65"/>
      <c r="EB23" s="65"/>
      <c r="EC23" s="65"/>
      <c r="ED23" s="65"/>
      <c r="EE23" s="65"/>
      <c r="EF23" s="65"/>
      <c r="EG23" s="65"/>
    </row>
    <row r="24" spans="1:138" x14ac:dyDescent="0.25">
      <c r="A24" s="101"/>
      <c r="B24" s="20" t="s">
        <v>1</v>
      </c>
      <c r="C24" s="3">
        <f>'[8]a1(I)'!C$7</f>
        <v>3.6466079703423647E-3</v>
      </c>
      <c r="D24" s="4">
        <f>'[8]a1(I)'!D$7</f>
        <v>1.9417206492944355E-2</v>
      </c>
      <c r="E24" s="4">
        <f>'[8]a1(I)'!E$7</f>
        <v>8.9330438156391426E-2</v>
      </c>
      <c r="F24" s="4">
        <f>'[8]a1(I)'!F$7</f>
        <v>0.1498721336930573</v>
      </c>
      <c r="G24" s="4">
        <f>'[8]a1(I)'!G$7</f>
        <v>0.19098603760277288</v>
      </c>
      <c r="H24" s="4">
        <f>'[8]a1(I)'!H$7</f>
        <v>0.2040132838998624</v>
      </c>
      <c r="I24" s="4">
        <f>'[8]a1(I)'!I$7</f>
        <v>0.2135240917418868</v>
      </c>
      <c r="J24" s="4">
        <f>'[8]a1(I)'!J$7</f>
        <v>0.20424169000477765</v>
      </c>
      <c r="K24" s="4">
        <f>'[8]a1(I)'!K$7</f>
        <v>0.15720922291147174</v>
      </c>
      <c r="L24" s="4">
        <f>'[8]a1(I)'!L$7</f>
        <v>0.10672389414596184</v>
      </c>
      <c r="M24" s="4">
        <f>'[8]a1(I)'!M$7</f>
        <v>7.2989856683338114E-2</v>
      </c>
      <c r="N24" s="4">
        <f>'[8]a1(I)'!N$7</f>
        <v>5.2363058250827571E-2</v>
      </c>
      <c r="O24" s="4">
        <f>'[8]a1(I)'!O$7</f>
        <v>2.7759677363202936E-2</v>
      </c>
      <c r="P24" s="4">
        <f>'[8]a1(I)'!P$7</f>
        <v>1.204531769344927E-2</v>
      </c>
      <c r="Q24" s="27">
        <f>'[8]a1(I)'!Q$7</f>
        <v>0</v>
      </c>
      <c r="R24" s="11"/>
      <c r="S24" s="62">
        <v>5.4449516828743967</v>
      </c>
      <c r="T24" s="46">
        <v>9.3388635157882547</v>
      </c>
      <c r="U24" s="55">
        <v>0.20741776975876192</v>
      </c>
      <c r="W24" s="55">
        <f t="shared" ref="W24:W25" si="138">SQRT(SUMSQ(AO24:BC24))</f>
        <v>4.4663476979375762E-2</v>
      </c>
      <c r="Y24" s="3">
        <f t="shared" ref="Y24:Y25" si="139">$U24 * (POWER(10, C$3-$S24)/(1 + POWER(10, C$3-$S24))) * (1 - POWER(10, C$3-$T24)/(1 + POWER(10, C$3-$T24)))</f>
        <v>1.2717754695872151E-2</v>
      </c>
      <c r="Z24" s="4">
        <f t="shared" si="123"/>
        <v>2.9235019340829581E-2</v>
      </c>
      <c r="AA24" s="4">
        <f t="shared" si="124"/>
        <v>6.9781344693044395E-2</v>
      </c>
      <c r="AB24" s="4">
        <f t="shared" si="125"/>
        <v>0.16607670149044151</v>
      </c>
      <c r="AC24" s="4">
        <f t="shared" si="126"/>
        <v>0.19533975236577011</v>
      </c>
      <c r="AD24" s="4">
        <f t="shared" si="127"/>
        <v>0.20160962891077283</v>
      </c>
      <c r="AE24" s="4">
        <f t="shared" si="128"/>
        <v>0.20264220425413138</v>
      </c>
      <c r="AF24" s="4">
        <f t="shared" si="129"/>
        <v>0.19590380868301249</v>
      </c>
      <c r="AG24" s="4">
        <f t="shared" si="130"/>
        <v>0.164053793043307</v>
      </c>
      <c r="AH24" s="4">
        <f t="shared" si="131"/>
        <v>0.11896275833908694</v>
      </c>
      <c r="AI24" s="4">
        <f t="shared" si="132"/>
        <v>7.343088480128182E-2</v>
      </c>
      <c r="AJ24" s="4">
        <f t="shared" si="133"/>
        <v>3.1861608831319256E-2</v>
      </c>
      <c r="AK24" s="4">
        <f t="shared" si="134"/>
        <v>1.1258216955926523E-2</v>
      </c>
      <c r="AL24" s="4">
        <f t="shared" si="135"/>
        <v>3.8684072502139931E-3</v>
      </c>
      <c r="AM24" s="27">
        <f t="shared" si="136"/>
        <v>1.5575269634163869E-3</v>
      </c>
      <c r="AO24" s="3">
        <f t="shared" si="137"/>
        <v>9.071146725529786E-3</v>
      </c>
      <c r="AP24" s="4">
        <f t="shared" si="137"/>
        <v>9.817812847885226E-3</v>
      </c>
      <c r="AQ24" s="4">
        <f t="shared" si="137"/>
        <v>-1.9549093463347031E-2</v>
      </c>
      <c r="AR24" s="4">
        <f t="shared" si="137"/>
        <v>1.6204567797384217E-2</v>
      </c>
      <c r="AS24" s="4">
        <f t="shared" si="137"/>
        <v>4.3537147629972295E-3</v>
      </c>
      <c r="AT24" s="4">
        <f t="shared" si="137"/>
        <v>-2.4036549890895653E-3</v>
      </c>
      <c r="AU24" s="4">
        <f t="shared" si="137"/>
        <v>-1.0881887487755426E-2</v>
      </c>
      <c r="AV24" s="4">
        <f t="shared" si="137"/>
        <v>-8.3378813217651615E-3</v>
      </c>
      <c r="AW24" s="4">
        <f t="shared" si="137"/>
        <v>6.8445701318352592E-3</v>
      </c>
      <c r="AX24" s="4">
        <f t="shared" si="137"/>
        <v>1.2238864193125101E-2</v>
      </c>
      <c r="AY24" s="4">
        <f t="shared" si="137"/>
        <v>4.4102811794370644E-4</v>
      </c>
      <c r="AZ24" s="4">
        <f t="shared" si="137"/>
        <v>-2.0501449419508315E-2</v>
      </c>
      <c r="BA24" s="4">
        <f t="shared" si="137"/>
        <v>-1.6501460407276413E-2</v>
      </c>
      <c r="BB24" s="4">
        <f t="shared" si="137"/>
        <v>-8.1769104432352774E-3</v>
      </c>
      <c r="BC24" s="27">
        <f t="shared" si="137"/>
        <v>1.5575269634163869E-3</v>
      </c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65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5"/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  <c r="DQ24" s="65"/>
      <c r="DR24" s="65"/>
      <c r="DS24" s="65"/>
      <c r="DT24" s="65"/>
      <c r="DU24" s="65"/>
      <c r="DV24" s="65"/>
      <c r="DW24" s="65"/>
      <c r="DX24" s="65"/>
      <c r="DY24" s="65"/>
      <c r="DZ24" s="65"/>
      <c r="EA24" s="65"/>
      <c r="EB24" s="65"/>
      <c r="EC24" s="65"/>
      <c r="ED24" s="65"/>
      <c r="EE24" s="65"/>
      <c r="EF24" s="65"/>
      <c r="EG24" s="65"/>
    </row>
    <row r="25" spans="1:138" ht="15.75" thickBot="1" x14ac:dyDescent="0.3">
      <c r="A25" s="101"/>
      <c r="B25" s="20" t="s">
        <v>2</v>
      </c>
      <c r="C25" s="3">
        <f>'[9]a1(I)'!C$7</f>
        <v>0</v>
      </c>
      <c r="D25" s="4">
        <f>'[9]a1(I)'!D$7</f>
        <v>1.3683943929618747E-2</v>
      </c>
      <c r="E25" s="4">
        <f>'[9]a1(I)'!E$7</f>
        <v>7.297051313116229E-2</v>
      </c>
      <c r="F25" s="4">
        <f>'[9]a1(I)'!F$7</f>
        <v>0.14222317585630551</v>
      </c>
      <c r="G25" s="4">
        <f>'[9]a1(I)'!G$7</f>
        <v>0.16818881805385552</v>
      </c>
      <c r="H25" s="4">
        <f>'[9]a1(I)'!H$7</f>
        <v>0.18211013957440211</v>
      </c>
      <c r="I25" s="4">
        <f>'[9]a1(I)'!I$7</f>
        <v>0.19957482993250916</v>
      </c>
      <c r="J25" s="4">
        <f>'[9]a1(I)'!J$7</f>
        <v>0.19148009104185218</v>
      </c>
      <c r="K25" s="4">
        <f>'[9]a1(I)'!K$7</f>
        <v>0.15718734872342363</v>
      </c>
      <c r="L25" s="4">
        <f>'[9]a1(I)'!L$7</f>
        <v>0.11083006948361525</v>
      </c>
      <c r="M25" s="4">
        <f>'[9]a1(I)'!M$7</f>
        <v>7.7071611002995144E-2</v>
      </c>
      <c r="N25" s="4">
        <f>'[9]a1(I)'!N$7</f>
        <v>4.8575255351119617E-2</v>
      </c>
      <c r="O25" s="4">
        <f>'[9]a1(I)'!O$7</f>
        <v>2.1765826710292199E-2</v>
      </c>
      <c r="P25" s="4">
        <f>'[9]a1(I)'!P$7</f>
        <v>1.7129570434800889E-3</v>
      </c>
      <c r="Q25" s="27">
        <f>'[9]a1(I)'!Q$7</f>
        <v>0</v>
      </c>
      <c r="S25" s="60">
        <v>5.5145719724178779</v>
      </c>
      <c r="T25" s="47">
        <v>9.4424267554286399</v>
      </c>
      <c r="U25" s="56">
        <v>0.19152075662311518</v>
      </c>
      <c r="W25" s="56">
        <f t="shared" si="138"/>
        <v>3.4091833179333321E-2</v>
      </c>
      <c r="Y25" s="12">
        <f t="shared" si="139"/>
        <v>1.0095388321512858E-2</v>
      </c>
      <c r="Z25" s="13">
        <f t="shared" si="123"/>
        <v>2.3486470832658278E-2</v>
      </c>
      <c r="AA25" s="13">
        <f t="shared" si="124"/>
        <v>5.7769088904564649E-2</v>
      </c>
      <c r="AB25" s="13">
        <f t="shared" si="125"/>
        <v>0.14823834747051676</v>
      </c>
      <c r="AC25" s="13">
        <f t="shared" si="126"/>
        <v>0.17870374659434182</v>
      </c>
      <c r="AD25" s="13">
        <f t="shared" si="127"/>
        <v>0.18564345230374538</v>
      </c>
      <c r="AE25" s="13">
        <f t="shared" si="128"/>
        <v>0.18741498005006416</v>
      </c>
      <c r="AF25" s="13">
        <f t="shared" si="129"/>
        <v>0.1828891858231754</v>
      </c>
      <c r="AG25" s="13">
        <f t="shared" si="130"/>
        <v>0.15848440193255986</v>
      </c>
      <c r="AH25" s="13">
        <f t="shared" si="131"/>
        <v>0.120766067872545</v>
      </c>
      <c r="AI25" s="13">
        <f t="shared" si="132"/>
        <v>7.8569856779991329E-2</v>
      </c>
      <c r="AJ25" s="13">
        <f t="shared" si="133"/>
        <v>3.5858729841358794E-2</v>
      </c>
      <c r="AK25" s="13">
        <f t="shared" si="134"/>
        <v>1.3004691472381123E-2</v>
      </c>
      <c r="AL25" s="13">
        <f t="shared" si="135"/>
        <v>4.5111716775808677E-3</v>
      </c>
      <c r="AM25" s="26">
        <f t="shared" si="136"/>
        <v>1.8217605397215931E-3</v>
      </c>
      <c r="AO25" s="12">
        <f t="shared" si="137"/>
        <v>1.0095388321512858E-2</v>
      </c>
      <c r="AP25" s="13">
        <f t="shared" si="137"/>
        <v>9.8025269030395309E-3</v>
      </c>
      <c r="AQ25" s="13">
        <f t="shared" si="137"/>
        <v>-1.5201424226597642E-2</v>
      </c>
      <c r="AR25" s="13">
        <f t="shared" si="137"/>
        <v>6.015171614211251E-3</v>
      </c>
      <c r="AS25" s="13">
        <f t="shared" si="137"/>
        <v>1.0514928540486301E-2</v>
      </c>
      <c r="AT25" s="13">
        <f t="shared" si="137"/>
        <v>3.5333127293432631E-3</v>
      </c>
      <c r="AU25" s="13">
        <f t="shared" si="137"/>
        <v>-1.2159849882445006E-2</v>
      </c>
      <c r="AV25" s="13">
        <f t="shared" si="137"/>
        <v>-8.5909052186767809E-3</v>
      </c>
      <c r="AW25" s="13">
        <f t="shared" si="137"/>
        <v>1.2970532091362286E-3</v>
      </c>
      <c r="AX25" s="13">
        <f t="shared" si="137"/>
        <v>9.935998388929751E-3</v>
      </c>
      <c r="AY25" s="13">
        <f t="shared" si="137"/>
        <v>1.4982457769961849E-3</v>
      </c>
      <c r="AZ25" s="13">
        <f t="shared" si="137"/>
        <v>-1.2716525509760823E-2</v>
      </c>
      <c r="BA25" s="13">
        <f t="shared" si="137"/>
        <v>-8.761135237911076E-3</v>
      </c>
      <c r="BB25" s="13">
        <f t="shared" si="137"/>
        <v>2.7982146341007791E-3</v>
      </c>
      <c r="BC25" s="26">
        <f t="shared" si="137"/>
        <v>1.8217605397215931E-3</v>
      </c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  <c r="CA25" s="65"/>
      <c r="CB25" s="65"/>
      <c r="CC25" s="65"/>
      <c r="CD25" s="65"/>
      <c r="CE25" s="65"/>
      <c r="CF25" s="65"/>
      <c r="CG25" s="65"/>
      <c r="CH25" s="65"/>
      <c r="CI25" s="65"/>
      <c r="CJ25" s="65"/>
      <c r="CK25" s="65"/>
      <c r="CL25" s="65"/>
      <c r="CM25" s="65"/>
      <c r="CN25" s="65"/>
      <c r="CO25" s="65"/>
      <c r="CP25" s="65"/>
      <c r="CQ25" s="65"/>
      <c r="CR25" s="65"/>
      <c r="CS25" s="65"/>
      <c r="CT25" s="65"/>
      <c r="CU25" s="65"/>
      <c r="CV25" s="65"/>
      <c r="CW25" s="65"/>
      <c r="CX25" s="65"/>
      <c r="CY25" s="65"/>
      <c r="CZ25" s="65"/>
      <c r="DA25" s="65"/>
      <c r="DB25" s="65"/>
      <c r="DC25" s="65"/>
      <c r="DD25" s="65"/>
      <c r="DE25" s="65"/>
      <c r="DF25" s="65"/>
      <c r="DG25" s="65"/>
      <c r="DH25" s="65"/>
      <c r="DI25" s="65"/>
      <c r="DJ25" s="65"/>
      <c r="DK25" s="65"/>
      <c r="DL25" s="65"/>
      <c r="DM25" s="65"/>
      <c r="DN25" s="65"/>
      <c r="DO25" s="65"/>
      <c r="DP25" s="65"/>
      <c r="DQ25" s="65"/>
      <c r="DR25" s="65"/>
      <c r="DS25" s="65"/>
      <c r="DT25" s="65"/>
      <c r="DU25" s="65"/>
      <c r="DV25" s="65"/>
      <c r="DW25" s="65"/>
      <c r="DX25" s="65"/>
      <c r="DY25" s="65"/>
      <c r="DZ25" s="65"/>
      <c r="EA25" s="65"/>
      <c r="EB25" s="65"/>
      <c r="EC25" s="65"/>
      <c r="ED25" s="65"/>
      <c r="EE25" s="65"/>
      <c r="EF25" s="65"/>
      <c r="EG25" s="65"/>
    </row>
    <row r="26" spans="1:138" ht="15.75" x14ac:dyDescent="0.25">
      <c r="A26" s="101"/>
      <c r="B26" s="21" t="s">
        <v>3</v>
      </c>
      <c r="C26" s="8">
        <f t="shared" ref="C26:Q26" si="140">AVERAGE(C23:C25)</f>
        <v>2.3773125525690044E-3</v>
      </c>
      <c r="D26" s="9">
        <f t="shared" si="140"/>
        <v>1.9430401731604419E-2</v>
      </c>
      <c r="E26" s="9">
        <f t="shared" si="140"/>
        <v>8.2884823932250551E-2</v>
      </c>
      <c r="F26" s="9">
        <f t="shared" si="140"/>
        <v>0.14897057329563723</v>
      </c>
      <c r="G26" s="9">
        <f t="shared" si="140"/>
        <v>0.18329881827219383</v>
      </c>
      <c r="H26" s="9">
        <f t="shared" si="140"/>
        <v>0.19520061661961075</v>
      </c>
      <c r="I26" s="9">
        <f t="shared" si="140"/>
        <v>0.20816153238546956</v>
      </c>
      <c r="J26" s="9">
        <f t="shared" si="140"/>
        <v>0.20518320049462138</v>
      </c>
      <c r="K26" s="9">
        <f t="shared" si="140"/>
        <v>0.16650583831269175</v>
      </c>
      <c r="L26" s="9">
        <f t="shared" si="140"/>
        <v>0.11328381387319059</v>
      </c>
      <c r="M26" s="9">
        <f t="shared" si="140"/>
        <v>7.9976394118193142E-2</v>
      </c>
      <c r="N26" s="9">
        <f t="shared" si="140"/>
        <v>5.2631864926847599E-2</v>
      </c>
      <c r="O26" s="9">
        <f t="shared" si="140"/>
        <v>2.9915928603047138E-2</v>
      </c>
      <c r="P26" s="9">
        <f t="shared" si="140"/>
        <v>1.0992864135096612E-2</v>
      </c>
      <c r="Q26" s="28">
        <f t="shared" si="140"/>
        <v>2.2206249914983743E-3</v>
      </c>
      <c r="S26" s="49">
        <f t="shared" ref="S26:U26" si="141">AVERAGE(S23:S25)</f>
        <v>5.4685187183561794</v>
      </c>
      <c r="T26" s="50">
        <f t="shared" si="141"/>
        <v>9.4344547751785885</v>
      </c>
      <c r="U26" s="28">
        <f t="shared" si="141"/>
        <v>0.20291299415190034</v>
      </c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/>
      <c r="CC26" s="65"/>
      <c r="CD26" s="65"/>
      <c r="CE26" s="65"/>
      <c r="CF26" s="65"/>
      <c r="CG26" s="65"/>
      <c r="CH26" s="65"/>
      <c r="CI26" s="65"/>
      <c r="CJ26" s="65"/>
      <c r="CK26" s="65"/>
      <c r="CL26" s="65"/>
      <c r="CM26" s="65"/>
      <c r="CN26" s="65"/>
      <c r="CO26" s="65"/>
      <c r="CP26" s="65"/>
      <c r="CQ26" s="65"/>
      <c r="CR26" s="65"/>
      <c r="CS26" s="65"/>
      <c r="CT26" s="65"/>
      <c r="CU26" s="65"/>
      <c r="CV26" s="65"/>
      <c r="CW26" s="65"/>
      <c r="CX26" s="65"/>
      <c r="CY26" s="65"/>
      <c r="CZ26" s="65"/>
      <c r="DA26" s="65"/>
      <c r="DB26" s="65"/>
      <c r="DC26" s="65"/>
      <c r="DD26" s="65"/>
      <c r="DE26" s="65"/>
      <c r="DF26" s="65"/>
      <c r="DG26" s="65"/>
      <c r="DH26" s="65"/>
      <c r="DI26" s="65"/>
      <c r="DJ26" s="65"/>
      <c r="DK26" s="65"/>
      <c r="DL26" s="65"/>
      <c r="DM26" s="65"/>
      <c r="DN26" s="65"/>
      <c r="DO26" s="65"/>
      <c r="DP26" s="65"/>
      <c r="DQ26" s="65"/>
      <c r="DR26" s="65"/>
      <c r="DS26" s="65"/>
      <c r="DT26" s="65"/>
      <c r="DU26" s="65"/>
      <c r="DV26" s="65"/>
      <c r="DW26" s="65"/>
      <c r="DX26" s="65"/>
      <c r="DY26" s="65"/>
      <c r="DZ26" s="65"/>
      <c r="EA26" s="65"/>
      <c r="EB26" s="65"/>
      <c r="EC26" s="65"/>
      <c r="ED26" s="65"/>
      <c r="EE26" s="65"/>
      <c r="EF26" s="65"/>
      <c r="EG26" s="65"/>
    </row>
    <row r="27" spans="1:138" ht="16.5" thickBot="1" x14ac:dyDescent="0.3">
      <c r="A27" s="101"/>
      <c r="B27" s="22" t="s">
        <v>4</v>
      </c>
      <c r="C27" s="12">
        <f t="shared" ref="C27:Q27" si="142">STDEV(C23:C25)</f>
        <v>2.0603916862071826E-3</v>
      </c>
      <c r="D27" s="13">
        <f t="shared" si="142"/>
        <v>5.7530667705557158E-3</v>
      </c>
      <c r="E27" s="13">
        <f t="shared" si="142"/>
        <v>8.7141080246330733E-3</v>
      </c>
      <c r="F27" s="13">
        <f t="shared" si="142"/>
        <v>6.3448401900711169E-3</v>
      </c>
      <c r="G27" s="13">
        <f t="shared" si="142"/>
        <v>1.308631200419535E-2</v>
      </c>
      <c r="H27" s="13">
        <f t="shared" si="142"/>
        <v>1.1561214258215114E-2</v>
      </c>
      <c r="I27" s="13">
        <f t="shared" si="142"/>
        <v>7.5127758043802024E-3</v>
      </c>
      <c r="J27" s="13">
        <f t="shared" si="142"/>
        <v>1.419729805175329E-2</v>
      </c>
      <c r="K27" s="13">
        <f t="shared" si="142"/>
        <v>1.6121157525909771E-2</v>
      </c>
      <c r="L27" s="13">
        <f t="shared" si="142"/>
        <v>8.0715410290606634E-3</v>
      </c>
      <c r="M27" s="13">
        <f t="shared" si="142"/>
        <v>8.8058983783277801E-3</v>
      </c>
      <c r="N27" s="13">
        <f t="shared" si="142"/>
        <v>4.1974732893638941E-3</v>
      </c>
      <c r="O27" s="13">
        <f t="shared" si="142"/>
        <v>9.4152667292396082E-3</v>
      </c>
      <c r="P27" s="13">
        <f t="shared" si="142"/>
        <v>8.8010035156094596E-3</v>
      </c>
      <c r="Q27" s="26">
        <f t="shared" si="142"/>
        <v>3.8462353098323906E-3</v>
      </c>
      <c r="S27" s="51">
        <f t="shared" ref="S27:U27" si="143">STDEV(S23:S25)</f>
        <v>3.988694897516417E-2</v>
      </c>
      <c r="T27" s="52">
        <f t="shared" si="143"/>
        <v>9.1865062504742148E-2</v>
      </c>
      <c r="U27" s="26">
        <f t="shared" si="143"/>
        <v>9.9376358080376231E-3</v>
      </c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/>
      <c r="CC27" s="65"/>
      <c r="CD27" s="65"/>
      <c r="CE27" s="65"/>
      <c r="CF27" s="65"/>
      <c r="CG27" s="65"/>
      <c r="CH27" s="65"/>
      <c r="CI27" s="65"/>
      <c r="CJ27" s="65"/>
      <c r="CK27" s="65"/>
      <c r="CL27" s="65"/>
      <c r="CM27" s="65"/>
      <c r="CN27" s="65"/>
      <c r="CO27" s="65"/>
      <c r="CP27" s="65"/>
      <c r="CQ27" s="65"/>
      <c r="CR27" s="65"/>
      <c r="CS27" s="65"/>
      <c r="CT27" s="65"/>
      <c r="CU27" s="65"/>
      <c r="CV27" s="65"/>
      <c r="CW27" s="65"/>
      <c r="CX27" s="65"/>
      <c r="CY27" s="65"/>
      <c r="CZ27" s="65"/>
      <c r="DA27" s="65"/>
      <c r="DB27" s="65"/>
      <c r="DC27" s="65"/>
      <c r="DD27" s="65"/>
      <c r="DE27" s="65"/>
      <c r="DF27" s="65"/>
      <c r="DG27" s="65"/>
      <c r="DH27" s="65"/>
      <c r="DI27" s="65"/>
      <c r="DJ27" s="65"/>
      <c r="DK27" s="65"/>
      <c r="DL27" s="65"/>
      <c r="DM27" s="65"/>
      <c r="DN27" s="65"/>
      <c r="DO27" s="65"/>
      <c r="DP27" s="65"/>
      <c r="DQ27" s="65"/>
      <c r="DR27" s="65"/>
      <c r="DS27" s="65"/>
      <c r="DT27" s="65"/>
      <c r="DU27" s="65"/>
      <c r="DV27" s="65"/>
      <c r="DW27" s="65"/>
      <c r="DX27" s="65"/>
      <c r="DY27" s="65"/>
      <c r="DZ27" s="65"/>
      <c r="EA27" s="65"/>
      <c r="EB27" s="65"/>
      <c r="EC27" s="65"/>
      <c r="ED27" s="65"/>
      <c r="EE27" s="65"/>
      <c r="EF27" s="65"/>
      <c r="EG27" s="65"/>
    </row>
    <row r="28" spans="1:138" x14ac:dyDescent="0.25">
      <c r="A28" s="101"/>
      <c r="B28" s="7" t="s">
        <v>7</v>
      </c>
      <c r="C28" s="8">
        <f>C26/MAX($C$26:$Q$26)</f>
        <v>1.1420518120354448E-2</v>
      </c>
      <c r="D28" s="9">
        <f t="shared" ref="D28:Q28" si="144">D26/MAX($C$26:$Q$26)</f>
        <v>9.3342903027940682E-2</v>
      </c>
      <c r="E28" s="9">
        <f t="shared" si="144"/>
        <v>0.39817550813743058</v>
      </c>
      <c r="F28" s="9">
        <f t="shared" si="144"/>
        <v>0.7156489077903998</v>
      </c>
      <c r="G28" s="9">
        <f t="shared" si="144"/>
        <v>0.88056047710469665</v>
      </c>
      <c r="H28" s="9">
        <f t="shared" si="144"/>
        <v>0.93773625886910728</v>
      </c>
      <c r="I28" s="9">
        <f t="shared" si="144"/>
        <v>1</v>
      </c>
      <c r="J28" s="9">
        <f t="shared" si="144"/>
        <v>0.98569220808130409</v>
      </c>
      <c r="K28" s="9">
        <f t="shared" si="144"/>
        <v>0.799887646889337</v>
      </c>
      <c r="L28" s="9">
        <f t="shared" si="144"/>
        <v>0.54421108729836687</v>
      </c>
      <c r="M28" s="9">
        <f t="shared" si="144"/>
        <v>0.38420352310865191</v>
      </c>
      <c r="N28" s="9">
        <f t="shared" si="144"/>
        <v>0.25284145597749019</v>
      </c>
      <c r="O28" s="9">
        <f t="shared" si="144"/>
        <v>0.14371497106222966</v>
      </c>
      <c r="P28" s="9">
        <f t="shared" si="144"/>
        <v>5.2809296747202243E-2</v>
      </c>
      <c r="Q28" s="28">
        <f t="shared" si="144"/>
        <v>1.0667797099928451E-2</v>
      </c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  <c r="CZ28" s="65"/>
      <c r="DA28" s="65"/>
      <c r="DB28" s="65"/>
      <c r="DC28" s="65"/>
      <c r="DD28" s="65"/>
      <c r="DE28" s="65"/>
      <c r="DF28" s="65"/>
      <c r="DG28" s="65"/>
      <c r="DH28" s="65"/>
      <c r="DI28" s="65"/>
      <c r="DJ28" s="65"/>
      <c r="DK28" s="65"/>
      <c r="DL28" s="65"/>
      <c r="DM28" s="65"/>
      <c r="DN28" s="65"/>
      <c r="DO28" s="65"/>
      <c r="DP28" s="65"/>
      <c r="DQ28" s="65"/>
      <c r="DR28" s="65"/>
      <c r="DS28" s="65"/>
      <c r="DT28" s="65"/>
      <c r="DU28" s="65"/>
      <c r="DV28" s="65"/>
      <c r="DW28" s="65"/>
      <c r="DX28" s="65"/>
      <c r="DY28" s="65"/>
      <c r="DZ28" s="65"/>
      <c r="EA28" s="65"/>
      <c r="EB28" s="65"/>
      <c r="EC28" s="65"/>
      <c r="ED28" s="65"/>
      <c r="EE28" s="65"/>
      <c r="EF28" s="65"/>
      <c r="EG28" s="65"/>
    </row>
    <row r="29" spans="1:138" ht="15.75" thickBot="1" x14ac:dyDescent="0.3">
      <c r="A29" s="102"/>
      <c r="B29" s="10" t="s">
        <v>4</v>
      </c>
      <c r="C29" s="36">
        <f t="shared" ref="C29:Q29" si="145">C27/MAX($C$26:$Q$26)</f>
        <v>9.8980424605627348E-3</v>
      </c>
      <c r="D29" s="37">
        <f t="shared" si="145"/>
        <v>2.763751162199506E-2</v>
      </c>
      <c r="E29" s="37">
        <f t="shared" si="145"/>
        <v>4.1862239986283606E-2</v>
      </c>
      <c r="F29" s="37">
        <f t="shared" si="145"/>
        <v>3.0480368382001834E-2</v>
      </c>
      <c r="G29" s="37">
        <f t="shared" si="145"/>
        <v>6.2866139839720087E-2</v>
      </c>
      <c r="H29" s="37">
        <f t="shared" si="145"/>
        <v>5.5539628891693005E-2</v>
      </c>
      <c r="I29" s="37">
        <f t="shared" si="145"/>
        <v>3.609108617853652E-2</v>
      </c>
      <c r="J29" s="37">
        <f t="shared" si="145"/>
        <v>6.8203274106682713E-2</v>
      </c>
      <c r="K29" s="37">
        <f t="shared" si="145"/>
        <v>7.7445421068754045E-2</v>
      </c>
      <c r="L29" s="37">
        <f t="shared" si="145"/>
        <v>3.8775372839367543E-2</v>
      </c>
      <c r="M29" s="37">
        <f t="shared" si="145"/>
        <v>4.2303197317077705E-2</v>
      </c>
      <c r="N29" s="37">
        <f t="shared" si="145"/>
        <v>2.0164500334245682E-2</v>
      </c>
      <c r="O29" s="37">
        <f t="shared" si="145"/>
        <v>4.5230579451176395E-2</v>
      </c>
      <c r="P29" s="37">
        <f t="shared" si="145"/>
        <v>4.2279682584733906E-2</v>
      </c>
      <c r="Q29" s="38">
        <f t="shared" si="145"/>
        <v>1.8477166581912001E-2</v>
      </c>
      <c r="S29" s="63">
        <v>0.5</v>
      </c>
      <c r="T29" s="63">
        <v>0.5</v>
      </c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  <c r="CZ29" s="65"/>
      <c r="DA29" s="65"/>
      <c r="DB29" s="65"/>
      <c r="DC29" s="65"/>
      <c r="DD29" s="65"/>
      <c r="DE29" s="65"/>
      <c r="DF29" s="65"/>
      <c r="DG29" s="65"/>
      <c r="DH29" s="65"/>
      <c r="DI29" s="65"/>
      <c r="DJ29" s="65"/>
      <c r="DK29" s="65"/>
      <c r="DL29" s="65"/>
      <c r="DM29" s="65"/>
      <c r="DN29" s="65"/>
      <c r="DO29" s="65"/>
      <c r="DP29" s="65"/>
      <c r="DQ29" s="65"/>
      <c r="DR29" s="65"/>
      <c r="DS29" s="65"/>
      <c r="DT29" s="65"/>
      <c r="DU29" s="65"/>
      <c r="DV29" s="65"/>
      <c r="DW29" s="65"/>
      <c r="DX29" s="65"/>
      <c r="DY29" s="65"/>
      <c r="DZ29" s="65"/>
      <c r="EA29" s="65"/>
      <c r="EB29" s="65"/>
      <c r="EC29" s="65"/>
      <c r="ED29" s="65"/>
      <c r="EE29" s="65"/>
      <c r="EF29" s="65"/>
      <c r="EG29" s="65"/>
    </row>
    <row r="30" spans="1:138" ht="15.75" thickBot="1" x14ac:dyDescent="0.3">
      <c r="B30" s="17" t="s">
        <v>11</v>
      </c>
      <c r="C30" s="57">
        <f>(POWER(10, C$3-$S26)/(1 + POWER(10, C$3-$S26))) * (1 - POWER(10, C$3-$T26)/(1 + POWER(10, C$3-$T26)))</f>
        <v>5.8264893403782422E-2</v>
      </c>
      <c r="D30" s="58">
        <f t="shared" ref="D30:Q30" si="146">(POWER(10, D$3-$S26)/(1 + POWER(10, D$3-$S26))) * (1 - POWER(10, D$3-$T26)/(1 + POWER(10, D$3-$T26)))</f>
        <v>0.13450472700667762</v>
      </c>
      <c r="E30" s="58">
        <f t="shared" si="146"/>
        <v>0.32442860608484841</v>
      </c>
      <c r="F30" s="58">
        <f t="shared" si="146"/>
        <v>0.79198387115751523</v>
      </c>
      <c r="G30" s="58">
        <f t="shared" si="146"/>
        <v>0.93922366209685459</v>
      </c>
      <c r="H30" s="58">
        <f t="shared" si="146"/>
        <v>0.97182398684295135</v>
      </c>
      <c r="I30" s="58">
        <f t="shared" si="146"/>
        <v>0.97933872783666343</v>
      </c>
      <c r="J30" s="58">
        <f t="shared" si="146"/>
        <v>0.954434184331583</v>
      </c>
      <c r="K30" s="58">
        <f t="shared" si="146"/>
        <v>0.82492345997370786</v>
      </c>
      <c r="L30" s="58">
        <f t="shared" si="146"/>
        <v>0.62629175296418449</v>
      </c>
      <c r="M30" s="58">
        <f t="shared" si="146"/>
        <v>0.40581187186709133</v>
      </c>
      <c r="N30" s="58">
        <f t="shared" si="146"/>
        <v>0.18445473860594397</v>
      </c>
      <c r="O30" s="58">
        <f t="shared" si="146"/>
        <v>6.6749699315835104E-2</v>
      </c>
      <c r="P30" s="58">
        <f t="shared" si="146"/>
        <v>2.313597219587411E-2</v>
      </c>
      <c r="Q30" s="59">
        <f t="shared" si="146"/>
        <v>9.3406834908386378E-3</v>
      </c>
      <c r="BE30" s="67">
        <f>(POWER(10, BE$3-$S26)/(1 + POWER(10, BE$3-$S26))) * (1 - POWER(10, BE$3-$T26)/(1 + POWER(10, BE$3-$T26)))</f>
        <v>3.2882063829759126E-2</v>
      </c>
      <c r="BF30" s="67">
        <f t="shared" ref="BF30:DQ30" si="147">(POWER(10, BF$3-$S26)/(1 + POWER(10, BF$3-$S26))) * (1 - POWER(10, BF$3-$T26)/(1 + POWER(10, BF$3-$T26)))</f>
        <v>4.1046554601372333E-2</v>
      </c>
      <c r="BG30" s="67">
        <f t="shared" si="147"/>
        <v>5.113106543356262E-2</v>
      </c>
      <c r="BH30" s="67">
        <f t="shared" si="147"/>
        <v>6.3529026386464515E-2</v>
      </c>
      <c r="BI30" s="67">
        <f t="shared" si="147"/>
        <v>7.8683851609132771E-2</v>
      </c>
      <c r="BJ30" s="67">
        <f t="shared" si="147"/>
        <v>9.7079029882237586E-2</v>
      </c>
      <c r="BK30" s="67">
        <f t="shared" si="147"/>
        <v>0.11921816000336811</v>
      </c>
      <c r="BL30" s="67">
        <f t="shared" si="147"/>
        <v>0.14559191620436673</v>
      </c>
      <c r="BM30" s="67">
        <f t="shared" si="147"/>
        <v>0.17662987050722348</v>
      </c>
      <c r="BN30" s="67">
        <f t="shared" si="147"/>
        <v>0.2126375149099699</v>
      </c>
      <c r="BO30" s="67">
        <f t="shared" si="147"/>
        <v>0.25372304374299998</v>
      </c>
      <c r="BP30" s="67">
        <f t="shared" si="147"/>
        <v>0.2997241414641641</v>
      </c>
      <c r="BQ30" s="67">
        <f t="shared" si="147"/>
        <v>0.35015069365320595</v>
      </c>
      <c r="BR30" s="67">
        <f t="shared" si="147"/>
        <v>0.40416228847215374</v>
      </c>
      <c r="BS30" s="67">
        <f t="shared" si="147"/>
        <v>0.46059652040351079</v>
      </c>
      <c r="BT30" s="67">
        <f t="shared" si="147"/>
        <v>0.51805390644366689</v>
      </c>
      <c r="BU30" s="67">
        <f t="shared" si="147"/>
        <v>0.57502968161530432</v>
      </c>
      <c r="BV30" s="67">
        <f t="shared" si="147"/>
        <v>0.63006766179438611</v>
      </c>
      <c r="BW30" s="67">
        <f t="shared" si="147"/>
        <v>0.681903710291617</v>
      </c>
      <c r="BX30" s="67">
        <f t="shared" si="147"/>
        <v>0.72956998001480589</v>
      </c>
      <c r="BY30" s="67">
        <f t="shared" si="147"/>
        <v>0.77244416745714195</v>
      </c>
      <c r="BZ30" s="67">
        <f t="shared" si="147"/>
        <v>0.81024420885705351</v>
      </c>
      <c r="CA30" s="67">
        <f t="shared" si="147"/>
        <v>0.84298148620048596</v>
      </c>
      <c r="CB30" s="67">
        <f t="shared" si="147"/>
        <v>0.87089115922470384</v>
      </c>
      <c r="CC30" s="67">
        <f t="shared" si="147"/>
        <v>0.89435711032749121</v>
      </c>
      <c r="CD30" s="67">
        <f t="shared" si="147"/>
        <v>0.91384395519355233</v>
      </c>
      <c r="CE30" s="67">
        <f t="shared" si="147"/>
        <v>0.92984264376750836</v>
      </c>
      <c r="CF30" s="67">
        <f t="shared" si="147"/>
        <v>0.94283131929659536</v>
      </c>
      <c r="CG30" s="67">
        <f t="shared" si="147"/>
        <v>0.95325002863999841</v>
      </c>
      <c r="CH30" s="67">
        <f t="shared" si="147"/>
        <v>0.96148644175616249</v>
      </c>
      <c r="CI30" s="67">
        <f t="shared" si="147"/>
        <v>0.96786944377801698</v>
      </c>
      <c r="CJ30" s="67">
        <f t="shared" si="147"/>
        <v>0.972667795694659</v>
      </c>
      <c r="CK30" s="67">
        <f t="shared" si="147"/>
        <v>0.97609163884656691</v>
      </c>
      <c r="CL30" s="67">
        <f t="shared" si="147"/>
        <v>0.97829521824593624</v>
      </c>
      <c r="CM30" s="67">
        <f t="shared" si="147"/>
        <v>0.97937971468466956</v>
      </c>
      <c r="CN30" s="67">
        <f t="shared" si="147"/>
        <v>0.97939547625125223</v>
      </c>
      <c r="CO30" s="67">
        <f t="shared" si="147"/>
        <v>0.97834323737129136</v>
      </c>
      <c r="CP30" s="67">
        <f t="shared" si="147"/>
        <v>0.97617413711978296</v>
      </c>
      <c r="CQ30" s="67">
        <f t="shared" si="147"/>
        <v>0.97278853414344379</v>
      </c>
      <c r="CR30" s="67">
        <f t="shared" si="147"/>
        <v>0.96803380056176602</v>
      </c>
      <c r="CS30" s="67">
        <f t="shared" si="147"/>
        <v>0.96170149918560777</v>
      </c>
      <c r="CT30" s="67">
        <f t="shared" si="147"/>
        <v>0.95352464321470631</v>
      </c>
      <c r="CU30" s="67">
        <f t="shared" si="147"/>
        <v>0.94317613487390051</v>
      </c>
      <c r="CV30" s="67">
        <f t="shared" si="147"/>
        <v>0.93026999115068876</v>
      </c>
      <c r="CW30" s="67">
        <f t="shared" si="147"/>
        <v>0.914367563118481</v>
      </c>
      <c r="CX30" s="67">
        <f t="shared" si="147"/>
        <v>0.89499153768540096</v>
      </c>
      <c r="CY30" s="67">
        <f t="shared" si="147"/>
        <v>0.87165085523972818</v>
      </c>
      <c r="CZ30" s="67">
        <f t="shared" si="147"/>
        <v>0.84387940775601322</v>
      </c>
      <c r="DA30" s="67">
        <f t="shared" si="147"/>
        <v>0.81128998844888667</v>
      </c>
      <c r="DB30" s="67">
        <f t="shared" si="147"/>
        <v>0.77364194322792901</v>
      </c>
      <c r="DC30" s="67">
        <f t="shared" si="147"/>
        <v>0.73091616555216388</v>
      </c>
      <c r="DD30" s="67">
        <f t="shared" si="147"/>
        <v>0.6833851582019852</v>
      </c>
      <c r="DE30" s="67">
        <f t="shared" si="147"/>
        <v>0.63166078460103092</v>
      </c>
      <c r="DF30" s="67">
        <f t="shared" si="147"/>
        <v>0.57670104099575026</v>
      </c>
      <c r="DG30" s="67">
        <f t="shared" si="147"/>
        <v>0.51976250773902344</v>
      </c>
      <c r="DH30" s="67">
        <f t="shared" si="147"/>
        <v>0.46229759475007148</v>
      </c>
      <c r="DI30" s="67">
        <f t="shared" si="147"/>
        <v>0.40581187186710216</v>
      </c>
      <c r="DJ30" s="67">
        <f t="shared" si="147"/>
        <v>0.35171003618846319</v>
      </c>
      <c r="DK30" s="67">
        <f t="shared" si="147"/>
        <v>0.30116304022727253</v>
      </c>
      <c r="DL30" s="67">
        <f t="shared" si="147"/>
        <v>0.25502155837466911</v>
      </c>
      <c r="DM30" s="67">
        <f t="shared" si="147"/>
        <v>0.21378601554212093</v>
      </c>
      <c r="DN30" s="67">
        <f t="shared" si="147"/>
        <v>0.1776277735647798</v>
      </c>
      <c r="DO30" s="67">
        <f t="shared" si="147"/>
        <v>0.14644566067399356</v>
      </c>
      <c r="DP30" s="67">
        <f t="shared" si="147"/>
        <v>0.11993896427131678</v>
      </c>
      <c r="DQ30" s="67">
        <f t="shared" si="147"/>
        <v>9.7680826459797004E-2</v>
      </c>
      <c r="DR30" s="67">
        <f t="shared" ref="DR30:EG30" si="148">(POWER(10, DR$3-$S26)/(1 + POWER(10, DR$3-$S26))) * (1 - POWER(10, DR$3-$T26)/(1 + POWER(10, DR$3-$T26)))</f>
        <v>7.9181617509772706E-2</v>
      </c>
      <c r="DS30" s="67">
        <f t="shared" si="148"/>
        <v>6.3937574913427608E-2</v>
      </c>
      <c r="DT30" s="67">
        <f t="shared" si="148"/>
        <v>5.146426620402806E-2</v>
      </c>
      <c r="DU30" s="67">
        <f t="shared" si="148"/>
        <v>4.1316900549016211E-2</v>
      </c>
      <c r="DV30" s="67">
        <f t="shared" si="148"/>
        <v>3.3100492162957303E-2</v>
      </c>
      <c r="DW30" s="67">
        <f t="shared" si="148"/>
        <v>2.6472899373208313E-2</v>
      </c>
      <c r="DX30" s="67">
        <f t="shared" si="148"/>
        <v>2.1143304024230331E-2</v>
      </c>
      <c r="DY30" s="67">
        <f t="shared" si="148"/>
        <v>1.6868083826162842E-2</v>
      </c>
      <c r="DZ30" s="67">
        <f t="shared" si="148"/>
        <v>1.3445446583604147E-2</v>
      </c>
      <c r="EA30" s="67">
        <f t="shared" si="148"/>
        <v>1.0709717234418378E-2</v>
      </c>
      <c r="EB30" s="67">
        <f t="shared" si="148"/>
        <v>8.5258125476332484E-3</v>
      </c>
      <c r="EC30" s="67">
        <f t="shared" si="148"/>
        <v>6.784191144599664E-3</v>
      </c>
      <c r="ED30" s="67">
        <f t="shared" si="148"/>
        <v>5.3964050937486069E-3</v>
      </c>
      <c r="EE30" s="67">
        <f t="shared" si="148"/>
        <v>4.2912802933317172E-3</v>
      </c>
      <c r="EF30" s="67">
        <f t="shared" si="148"/>
        <v>3.411696575309541E-3</v>
      </c>
      <c r="EG30" s="67">
        <f t="shared" si="148"/>
        <v>2.7119100443926884E-3</v>
      </c>
      <c r="EH30" s="68">
        <f>MAX(BE30:EG30)</f>
        <v>0.97939547625125223</v>
      </c>
    </row>
    <row r="31" spans="1:138" ht="15.75" thickBot="1" x14ac:dyDescent="0.3">
      <c r="BE31" s="83">
        <f>BE30*MAX($C26:$Q26)</f>
        <v>6.8447807947994814E-3</v>
      </c>
      <c r="BF31" s="83">
        <f t="shared" ref="BF31" si="149">BF30*MAX($C26:$Q26)</f>
        <v>8.5443137049655109E-3</v>
      </c>
      <c r="BG31" s="83">
        <f t="shared" ref="BG31" si="150">BG30*MAX($C26:$Q26)</f>
        <v>1.0643520933152108E-2</v>
      </c>
      <c r="BH31" s="83">
        <f t="shared" ref="BH31" si="151">BH30*MAX($C26:$Q26)</f>
        <v>1.3224299483563384E-2</v>
      </c>
      <c r="BI31" s="83">
        <f t="shared" ref="BI31" si="152">BI30*MAX($C26:$Q26)</f>
        <v>1.6378951124947971E-2</v>
      </c>
      <c r="BJ31" s="83">
        <f t="shared" ref="BJ31" si="153">BJ30*MAX($C26:$Q26)</f>
        <v>2.0208119622781365E-2</v>
      </c>
      <c r="BK31" s="83">
        <f t="shared" ref="BK31" si="154">BK30*MAX($C26:$Q26)</f>
        <v>2.4816634874477203E-2</v>
      </c>
      <c r="BL31" s="83">
        <f t="shared" ref="BL31" si="155">BL30*MAX($C26:$Q26)</f>
        <v>3.0306636380037857E-2</v>
      </c>
      <c r="BM31" s="83">
        <f t="shared" ref="BM31" si="156">BM30*MAX($C26:$Q26)</f>
        <v>3.6767544509830698E-2</v>
      </c>
      <c r="BN31" s="83">
        <f t="shared" ref="BN31" si="157">BN30*MAX($C26:$Q26)</f>
        <v>4.4262950946297466E-2</v>
      </c>
      <c r="BO31" s="83">
        <f t="shared" ref="BO31" si="158">BO30*MAX($C26:$Q26)</f>
        <v>5.28153775870484E-2</v>
      </c>
      <c r="BP31" s="83">
        <f t="shared" ref="BP31" si="159">BP30*MAX($C26:$Q26)</f>
        <v>6.2391036580099653E-2</v>
      </c>
      <c r="BQ31" s="83">
        <f t="shared" ref="BQ31" si="160">BQ30*MAX($C26:$Q26)</f>
        <v>7.2887904956686456E-2</v>
      </c>
      <c r="BR31" s="83">
        <f t="shared" ref="BR31" si="161">BR30*MAX($C26:$Q26)</f>
        <v>8.4131041300781723E-2</v>
      </c>
      <c r="BS31" s="83">
        <f t="shared" ref="BS31" si="162">BS30*MAX($C26:$Q26)</f>
        <v>9.5878477498610004E-2</v>
      </c>
      <c r="BT31" s="83">
        <f t="shared" ref="BT31" si="163">BT30*MAX($C26:$Q26)</f>
        <v>0.10783889502359238</v>
      </c>
      <c r="BU31" s="83">
        <f t="shared" ref="BU31" si="164">BU30*MAX($C26:$Q26)</f>
        <v>0.11969905969217041</v>
      </c>
      <c r="BV31" s="83">
        <f t="shared" ref="BV31" si="165">BV30*MAX($C26:$Q26)</f>
        <v>0.13115584998564919</v>
      </c>
      <c r="BW31" s="83">
        <f t="shared" ref="BW31" si="166">BW30*MAX($C26:$Q26)</f>
        <v>0.14194612127364029</v>
      </c>
      <c r="BX31" s="83">
        <f t="shared" ref="BX31" si="167">BX30*MAX($C26:$Q26)</f>
        <v>0.15186840502231838</v>
      </c>
      <c r="BY31" s="83">
        <f t="shared" ref="BY31" si="168">BY30*MAX($C26:$Q26)</f>
        <v>0.16079316158009693</v>
      </c>
      <c r="BZ31" s="83">
        <f t="shared" ref="BZ31" si="169">BZ30*MAX($C26:$Q26)</f>
        <v>0.1686616761221367</v>
      </c>
      <c r="CA31" s="83">
        <f t="shared" ref="CA31" si="170">CA30*MAX($C26:$Q26)</f>
        <v>0.17547631794007371</v>
      </c>
      <c r="CB31" s="83">
        <f t="shared" ref="CB31" si="171">CB30*MAX($C26:$Q26)</f>
        <v>0.18128603824517231</v>
      </c>
      <c r="CC31" s="83">
        <f t="shared" ref="CC31" si="172">CC30*MAX($C26:$Q26)</f>
        <v>0.18617074658561103</v>
      </c>
      <c r="CD31" s="83">
        <f t="shared" ref="CD31" si="173">CD30*MAX($C26:$Q26)</f>
        <v>0.19022715807428822</v>
      </c>
      <c r="CE31" s="83">
        <f t="shared" ref="CE31" si="174">CE30*MAX($C26:$Q26)</f>
        <v>0.19355746960400083</v>
      </c>
      <c r="CF31" s="83">
        <f t="shared" ref="CF31" si="175">CF30*MAX($C26:$Q26)</f>
        <v>0.19626121220579323</v>
      </c>
      <c r="CG31" s="83">
        <f t="shared" ref="CG31" si="176">CG30*MAX($C26:$Q26)</f>
        <v>0.19842998670819481</v>
      </c>
      <c r="CH31" s="83">
        <f t="shared" ref="CH31" si="177">CH30*MAX($C26:$Q26)</f>
        <v>0.2001444910838153</v>
      </c>
      <c r="CI31" s="83">
        <f t="shared" ref="CI31" si="178">CI30*MAX($C26:$Q26)</f>
        <v>0.2014731865659041</v>
      </c>
      <c r="CJ31" s="83">
        <f t="shared" ref="CJ31" si="179">CJ30*MAX($C26:$Q26)</f>
        <v>0.20247201885379704</v>
      </c>
      <c r="CK31" s="83">
        <f t="shared" ref="CK31" si="180">CK30*MAX($C26:$Q26)</f>
        <v>0.20318473129094569</v>
      </c>
      <c r="CL31" s="83">
        <f t="shared" ref="CL31" si="181">CL30*MAX($C26:$Q26)</f>
        <v>0.20364343175545147</v>
      </c>
      <c r="CM31" s="83">
        <f t="shared" ref="CM31" si="182">CM30*MAX($C26:$Q26)</f>
        <v>0.20386918219600478</v>
      </c>
      <c r="CN31" s="83">
        <f t="shared" ref="CN31" si="183">CN30*MAX($C26:$Q26)</f>
        <v>0.20387246314785742</v>
      </c>
      <c r="CO31" s="83">
        <f t="shared" ref="CO31" si="184">CO30*MAX($C26:$Q26)</f>
        <v>0.20365342749016921</v>
      </c>
      <c r="CP31" s="83">
        <f t="shared" ref="CP31" si="185">CP30*MAX($C26:$Q26)</f>
        <v>0.20320190425791751</v>
      </c>
      <c r="CQ31" s="83">
        <f t="shared" ref="CQ31" si="186">CQ30*MAX($C26:$Q26)</f>
        <v>0.20249715195431392</v>
      </c>
      <c r="CR31" s="83">
        <f t="shared" ref="CR31" si="187">CR30*MAX($C26:$Q26)</f>
        <v>0.20150739932586723</v>
      </c>
      <c r="CS31" s="83">
        <f t="shared" ref="CS31" si="188">CS30*MAX($C26:$Q26)</f>
        <v>0.20018925776787952</v>
      </c>
      <c r="CT31" s="83">
        <f t="shared" ref="CT31" si="189">CT30*MAX($C26:$Q26)</f>
        <v>0.19848715089888139</v>
      </c>
      <c r="CU31" s="83">
        <f t="shared" ref="CU31" si="190">CU30*MAX($C26:$Q26)</f>
        <v>0.19633298954475545</v>
      </c>
      <c r="CV31" s="83">
        <f t="shared" ref="CV31" si="191">CV30*MAX($C26:$Q26)</f>
        <v>0.19364642689014458</v>
      </c>
      <c r="CW31" s="83">
        <f t="shared" ref="CW31" si="192">CW30*MAX($C26:$Q26)</f>
        <v>0.19033615310231056</v>
      </c>
      <c r="CX31" s="83">
        <f t="shared" ref="CX31" si="193">CX30*MAX($C26:$Q26)</f>
        <v>0.1863028099566208</v>
      </c>
      <c r="CY31" s="83">
        <f t="shared" ref="CY31" si="194">CY30*MAX($C26:$Q26)</f>
        <v>0.1814441777318069</v>
      </c>
      <c r="CZ31" s="83">
        <f t="shared" ref="CZ31" si="195">CZ30*MAX($C26:$Q26)</f>
        <v>0.17566323066703421</v>
      </c>
      <c r="DA31" s="83">
        <f t="shared" ref="DA31" si="196">DA30*MAX($C26:$Q26)</f>
        <v>0.16887936720451013</v>
      </c>
      <c r="DB31" s="83">
        <f t="shared" ref="DB31" si="197">DB30*MAX($C26:$Q26)</f>
        <v>0.16104249241999816</v>
      </c>
      <c r="DC31" s="83">
        <f t="shared" ref="DC31" si="198">DC30*MAX($C26:$Q26)</f>
        <v>0.15214862906665</v>
      </c>
      <c r="DD31" s="83">
        <f t="shared" ref="DD31" si="199">DD30*MAX($C26:$Q26)</f>
        <v>0.14225450174081178</v>
      </c>
      <c r="DE31" s="83">
        <f t="shared" ref="DE31" si="200">DE30*MAX($C26:$Q26)</f>
        <v>0.13148747687035861</v>
      </c>
      <c r="DF31" s="83">
        <f t="shared" ref="DF31" si="201">DF30*MAX($C26:$Q26)</f>
        <v>0.12004697242197088</v>
      </c>
      <c r="DG31" s="83">
        <f t="shared" ref="DG31" si="202">DG30*MAX($C26:$Q26)</f>
        <v>0.1081945600874696</v>
      </c>
      <c r="DH31" s="83">
        <f t="shared" ref="DH31" si="203">DH30*MAX($C26:$Q26)</f>
        <v>9.6232575741291682E-2</v>
      </c>
      <c r="DI31" s="83">
        <f t="shared" ref="DI31" si="204">DI30*MAX($C26:$Q26)</f>
        <v>8.4474421108071809E-2</v>
      </c>
      <c r="DJ31" s="83">
        <f t="shared" ref="DJ31" si="205">DJ30*MAX($C26:$Q26)</f>
        <v>7.3212500088339447E-2</v>
      </c>
      <c r="DK31" s="83">
        <f t="shared" ref="DK31" si="206">DK30*MAX($C26:$Q26)</f>
        <v>6.2690559951575867E-2</v>
      </c>
      <c r="DL31" s="83">
        <f t="shared" ref="DL31" si="207">DL30*MAX($C26:$Q26)</f>
        <v>5.30856783826016E-2</v>
      </c>
      <c r="DM31" s="83">
        <f t="shared" ref="DM31" si="208">DM30*MAX($C26:$Q26)</f>
        <v>4.4502024597831702E-2</v>
      </c>
      <c r="DN31" s="83">
        <f t="shared" ref="DN31" si="209">DN30*MAX($C26:$Q26)</f>
        <v>3.6975269539463763E-2</v>
      </c>
      <c r="DO31" s="83">
        <f t="shared" ref="DO31" si="210">DO30*MAX($C26:$Q26)</f>
        <v>3.0484353137100996E-2</v>
      </c>
      <c r="DP31" s="83">
        <f t="shared" ref="DP31" si="211">DP30*MAX($C26:$Q26)</f>
        <v>2.4966678595443385E-2</v>
      </c>
      <c r="DQ31" s="83">
        <f t="shared" ref="DQ31" si="212">DQ30*MAX($C26:$Q26)</f>
        <v>2.0333390520550467E-2</v>
      </c>
      <c r="DR31" s="83">
        <f t="shared" ref="DR31" si="213">DR30*MAX($C26:$Q26)</f>
        <v>1.6482566837594415E-2</v>
      </c>
      <c r="DS31" s="83">
        <f t="shared" ref="DS31" si="214">DS30*MAX($C26:$Q26)</f>
        <v>1.3309343570989847E-2</v>
      </c>
      <c r="DT31" s="83">
        <f t="shared" ref="DT31" si="215">DT30*MAX($C26:$Q26)</f>
        <v>1.0712880516124214E-2</v>
      </c>
      <c r="DU31" s="83">
        <f t="shared" ref="DU31" si="216">DU30*MAX($C26:$Q26)</f>
        <v>8.6005893317012624E-3</v>
      </c>
      <c r="DV31" s="83">
        <f t="shared" ref="DV31" si="217">DV30*MAX($C26:$Q26)</f>
        <v>6.8902491713544178E-3</v>
      </c>
      <c r="DW31" s="83">
        <f t="shared" ref="DW31" si="218">DW30*MAX($C26:$Q26)</f>
        <v>5.5106393002133788E-3</v>
      </c>
      <c r="DX31" s="83">
        <f t="shared" ref="DX31" si="219">DX30*MAX($C26:$Q26)</f>
        <v>4.4012225653756506E-3</v>
      </c>
      <c r="DY31" s="83">
        <f t="shared" ref="DY31" si="220">DY30*MAX($C26:$Q26)</f>
        <v>3.5112861776606117E-3</v>
      </c>
      <c r="DZ31" s="83">
        <f t="shared" ref="DZ31" si="221">DZ30*MAX($C26:$Q26)</f>
        <v>2.7988247644500155E-3</v>
      </c>
      <c r="EA31" s="83">
        <f t="shared" ref="EA31" si="222">EA30*MAX($C26:$Q26)</f>
        <v>2.2293511509316024E-3</v>
      </c>
      <c r="EB31" s="83">
        <f t="shared" ref="EB31" si="223">EB30*MAX($C26:$Q26)</f>
        <v>1.7747462047466012E-3</v>
      </c>
      <c r="EC31" s="83">
        <f t="shared" ref="EC31" si="224">EC30*MAX($C26:$Q26)</f>
        <v>1.4122076246557988E-3</v>
      </c>
      <c r="ED31" s="83">
        <f t="shared" ref="ED31" si="225">ED30*MAX($C26:$Q26)</f>
        <v>1.1233239536874635E-3</v>
      </c>
      <c r="EE31" s="83">
        <f t="shared" ref="EE31" si="226">EE30*MAX($C26:$Q26)</f>
        <v>8.9327948175549755E-4</v>
      </c>
      <c r="EF31" s="83">
        <f t="shared" ref="EF31" si="227">EF30*MAX($C26:$Q26)</f>
        <v>7.1018398715069254E-4</v>
      </c>
      <c r="EG31" s="83">
        <f t="shared" ref="EG31" si="228">EG30*MAX($C26:$Q26)</f>
        <v>5.6451535053232877E-4</v>
      </c>
      <c r="EH31" s="88">
        <f>MAX(BE31:EG31)</f>
        <v>0.20387246314785742</v>
      </c>
    </row>
    <row r="32" spans="1:138" x14ac:dyDescent="0.25">
      <c r="A32" s="103" t="s">
        <v>10</v>
      </c>
      <c r="B32" s="21" t="s">
        <v>0</v>
      </c>
      <c r="C32" s="33">
        <f>'[10]a1(I)'!C$7</f>
        <v>3.1754932665480043E-3</v>
      </c>
      <c r="D32" s="34">
        <f>'[10]a1(I)'!D$7</f>
        <v>2.7563269805978119E-2</v>
      </c>
      <c r="E32" s="34">
        <f>'[10]a1(I)'!E$7</f>
        <v>8.9801473266072018E-2</v>
      </c>
      <c r="F32" s="34">
        <f>'[10]a1(I)'!F$7</f>
        <v>0.17111822144866198</v>
      </c>
      <c r="G32" s="34">
        <f>'[10]a1(I)'!G$7</f>
        <v>0.21538099175663036</v>
      </c>
      <c r="H32" s="34">
        <f>'[10]a1(I)'!H$7</f>
        <v>0.22874923110599132</v>
      </c>
      <c r="I32" s="34">
        <f>'[10]a1(I)'!I$7</f>
        <v>0.22790651233573997</v>
      </c>
      <c r="J32" s="34">
        <f>'[10]a1(I)'!J$7</f>
        <v>0.24495255450527434</v>
      </c>
      <c r="K32" s="34">
        <f>'[10]a1(I)'!K$7</f>
        <v>0.24577533299840013</v>
      </c>
      <c r="L32" s="34">
        <f>'[10]a1(I)'!L$7</f>
        <v>0.19683867812646985</v>
      </c>
      <c r="M32" s="34">
        <f>'[10]a1(I)'!M$7</f>
        <v>0.15344115746117834</v>
      </c>
      <c r="N32" s="34">
        <f>'[10]a1(I)'!N$7</f>
        <v>0.10961861231604857</v>
      </c>
      <c r="O32" s="34">
        <f>'[10]a1(I)'!O$7</f>
        <v>7.166958992683449E-2</v>
      </c>
      <c r="P32" s="34">
        <f>'[10]a1(I)'!P$7</f>
        <v>3.7669489839640774E-2</v>
      </c>
      <c r="Q32" s="35">
        <f>'[10]a1(I)'!Q$7</f>
        <v>9.0231359249396126E-3</v>
      </c>
      <c r="R32" s="11"/>
      <c r="S32" s="61">
        <v>5.4878720027911179</v>
      </c>
      <c r="T32" s="45">
        <v>10.048887958029875</v>
      </c>
      <c r="U32" s="54">
        <v>0.23509741309645299</v>
      </c>
      <c r="W32" s="54">
        <f>SQRT(SUMSQ(AO32:BC32))</f>
        <v>4.8414847148500618E-2</v>
      </c>
      <c r="Y32" s="23">
        <f>$U32 * (POWER(10, C$3-$S32)/(1 + POWER(10, C$3-$S32))) * (1 - POWER(10, C$3-$T32)/(1 + POWER(10, C$3-$T32)))</f>
        <v>1.3134332116673163E-2</v>
      </c>
      <c r="Z32" s="24">
        <f t="shared" ref="Z32" si="229">$U32 * (POWER(10, D$3-$S32)/(1 + POWER(10, D$3-$S32))) * (1 - POWER(10, D$3-$T32)/(1 + POWER(10, D$3-$T32)))</f>
        <v>3.0422236219129282E-2</v>
      </c>
      <c r="AA32" s="24">
        <f t="shared" ref="AA32" si="230">$U32 * (POWER(10, E$3-$S32)/(1 + POWER(10, E$3-$S32))) * (1 - POWER(10, E$3-$T32)/(1 + POWER(10, E$3-$T32)))</f>
        <v>7.3997296467696386E-2</v>
      </c>
      <c r="AB32" s="24">
        <f t="shared" ref="AB32" si="231">$U32 * (POWER(10, F$3-$S32)/(1 + POWER(10, F$3-$S32))) * (1 - POWER(10, F$3-$T32)/(1 + POWER(10, F$3-$T32)))</f>
        <v>0.1845052646279739</v>
      </c>
      <c r="AC32" s="24">
        <f t="shared" ref="AC32" si="232">$U32 * (POWER(10, G$3-$S32)/(1 + POWER(10, G$3-$S32))) * (1 - POWER(10, G$3-$T32)/(1 + POWER(10, G$3-$T32)))</f>
        <v>0.22050198538908733</v>
      </c>
      <c r="AD32" s="24">
        <f t="shared" ref="AD32" si="233">$U32 * (POWER(10, H$3-$S32)/(1 + POWER(10, H$3-$S32))) * (1 - POWER(10, H$3-$T32)/(1 + POWER(10, H$3-$T32)))</f>
        <v>0.22898799871426789</v>
      </c>
      <c r="AE32" s="24">
        <f t="shared" ref="AE32" si="234">$U32 * (POWER(10, I$3-$S32)/(1 + POWER(10, I$3-$S32))) * (1 - POWER(10, I$3-$T32)/(1 + POWER(10, I$3-$T32)))</f>
        <v>0.23221283040385837</v>
      </c>
      <c r="AF32" s="24">
        <f t="shared" ref="AF32" si="235">$U32 * (POWER(10, J$3-$S32)/(1 + POWER(10, J$3-$S32))) * (1 - POWER(10, J$3-$T32)/(1 + POWER(10, J$3-$T32)))</f>
        <v>0.23196130082500238</v>
      </c>
      <c r="AG32" s="24">
        <f t="shared" ref="AG32" si="236">$U32 * (POWER(10, K$3-$S32)/(1 + POWER(10, K$3-$S32))) * (1 - POWER(10, K$3-$T32)/(1 + POWER(10, K$3-$T32)))</f>
        <v>0.22348098050901066</v>
      </c>
      <c r="AH32" s="24">
        <f t="shared" ref="AH32" si="237">$U32 * (POWER(10, L$3-$S32)/(1 + POWER(10, L$3-$S32))) * (1 - POWER(10, L$3-$T32)/(1 + POWER(10, L$3-$T32)))</f>
        <v>0.20530164477112617</v>
      </c>
      <c r="AI32" s="24">
        <f t="shared" ref="AI32" si="238">$U32 * (POWER(10, M$3-$S32)/(1 + POWER(10, M$3-$S32))) * (1 - POWER(10, M$3-$T32)/(1 + POWER(10, M$3-$T32)))</f>
        <v>0.17339769314445844</v>
      </c>
      <c r="AJ32" s="24">
        <f t="shared" ref="AJ32" si="239">$U32 * (POWER(10, N$3-$S32)/(1 + POWER(10, N$3-$S32))) * (1 - POWER(10, N$3-$T32)/(1 + POWER(10, N$3-$T32)))</f>
        <v>0.11333712293163081</v>
      </c>
      <c r="AK32" s="24">
        <f t="shared" ref="AK32" si="240">$U32 * (POWER(10, O$3-$S32)/(1 + POWER(10, O$3-$S32))) * (1 - POWER(10, O$3-$T32)/(1 + POWER(10, O$3-$T32)))</f>
        <v>5.3465684123238023E-2</v>
      </c>
      <c r="AL32" s="24">
        <f t="shared" ref="AL32" si="241">$U32 * (POWER(10, P$3-$S32)/(1 + POWER(10, P$3-$S32))) * (1 - POWER(10, P$3-$T32)/(1 + POWER(10, P$3-$T32)))</f>
        <v>2.0880480033059166E-2</v>
      </c>
      <c r="AM32" s="25">
        <f t="shared" ref="AM32" si="242">$U32 * (POWER(10, Q$3-$S32)/(1 + POWER(10, Q$3-$S32))) * (1 - POWER(10, Q$3-$T32)/(1 + POWER(10, Q$3-$T32)))</f>
        <v>8.7821591661919746E-3</v>
      </c>
      <c r="AO32" s="23">
        <f t="shared" ref="AO32:BC34" si="243">Y32-C32</f>
        <v>9.9588388501251589E-3</v>
      </c>
      <c r="AP32" s="24">
        <f t="shared" si="243"/>
        <v>2.8589664131511636E-3</v>
      </c>
      <c r="AQ32" s="24">
        <f t="shared" si="243"/>
        <v>-1.5804176798375633E-2</v>
      </c>
      <c r="AR32" s="24">
        <f t="shared" si="243"/>
        <v>1.3387043179311914E-2</v>
      </c>
      <c r="AS32" s="24">
        <f t="shared" si="243"/>
        <v>5.120993632456966E-3</v>
      </c>
      <c r="AT32" s="24">
        <f t="shared" si="243"/>
        <v>2.3876760827656884E-4</v>
      </c>
      <c r="AU32" s="24">
        <f t="shared" si="243"/>
        <v>4.3063180681184032E-3</v>
      </c>
      <c r="AV32" s="24">
        <f t="shared" si="243"/>
        <v>-1.2991253680271958E-2</v>
      </c>
      <c r="AW32" s="24">
        <f t="shared" si="243"/>
        <v>-2.2294352489389463E-2</v>
      </c>
      <c r="AX32" s="24">
        <f t="shared" si="243"/>
        <v>8.4629666446563168E-3</v>
      </c>
      <c r="AY32" s="24">
        <f t="shared" si="243"/>
        <v>1.9956535683280097E-2</v>
      </c>
      <c r="AZ32" s="24">
        <f t="shared" si="243"/>
        <v>3.7185106155822462E-3</v>
      </c>
      <c r="BA32" s="24">
        <f t="shared" si="243"/>
        <v>-1.8203905803596467E-2</v>
      </c>
      <c r="BB32" s="24">
        <f t="shared" si="243"/>
        <v>-1.6789009806581608E-2</v>
      </c>
      <c r="BC32" s="25">
        <f t="shared" si="243"/>
        <v>-2.4097675874763802E-4</v>
      </c>
      <c r="BE32" s="65"/>
      <c r="BF32" s="65"/>
      <c r="BG32" s="65"/>
      <c r="BH32" s="65"/>
      <c r="BI32" s="65"/>
      <c r="BJ32" s="65"/>
      <c r="BK32" s="65"/>
      <c r="BL32" s="65"/>
      <c r="BM32" s="65"/>
      <c r="BN32" s="65"/>
      <c r="BO32" s="65"/>
      <c r="BP32" s="65"/>
      <c r="BQ32" s="65"/>
      <c r="BR32" s="65"/>
      <c r="BS32" s="65"/>
      <c r="BT32" s="65"/>
      <c r="BU32" s="65"/>
      <c r="BV32" s="65"/>
      <c r="BW32" s="65"/>
      <c r="BX32" s="65"/>
      <c r="BY32" s="65"/>
      <c r="BZ32" s="65"/>
      <c r="CA32" s="65"/>
      <c r="CB32" s="65"/>
      <c r="CC32" s="65"/>
      <c r="CD32" s="65"/>
      <c r="CE32" s="65"/>
      <c r="CF32" s="65"/>
      <c r="CG32" s="65"/>
      <c r="CH32" s="65"/>
      <c r="CI32" s="65"/>
      <c r="CJ32" s="65"/>
      <c r="CK32" s="65"/>
      <c r="CL32" s="65"/>
      <c r="CM32" s="65"/>
      <c r="CN32" s="65"/>
      <c r="CO32" s="65"/>
      <c r="CP32" s="65"/>
      <c r="CQ32" s="65"/>
      <c r="CR32" s="65"/>
      <c r="CS32" s="65"/>
      <c r="CT32" s="65"/>
      <c r="CU32" s="65"/>
      <c r="CV32" s="65"/>
      <c r="CW32" s="65"/>
      <c r="CX32" s="65"/>
      <c r="CY32" s="65"/>
      <c r="CZ32" s="65"/>
      <c r="DA32" s="65"/>
      <c r="DB32" s="65"/>
      <c r="DC32" s="65"/>
      <c r="DD32" s="65"/>
      <c r="DE32" s="65"/>
      <c r="DF32" s="65"/>
      <c r="DG32" s="65"/>
      <c r="DH32" s="65"/>
      <c r="DI32" s="65"/>
      <c r="DJ32" s="65"/>
      <c r="DK32" s="65"/>
      <c r="DL32" s="65"/>
      <c r="DM32" s="65"/>
      <c r="DN32" s="65"/>
      <c r="DO32" s="65"/>
      <c r="DP32" s="65"/>
      <c r="DQ32" s="65"/>
      <c r="DR32" s="65"/>
      <c r="DS32" s="65"/>
      <c r="DT32" s="65"/>
      <c r="DU32" s="65"/>
      <c r="DV32" s="65"/>
      <c r="DW32" s="65"/>
      <c r="DX32" s="65"/>
      <c r="DY32" s="65"/>
      <c r="DZ32" s="65"/>
      <c r="EA32" s="65"/>
      <c r="EB32" s="65"/>
      <c r="EC32" s="65"/>
      <c r="ED32" s="65"/>
      <c r="EE32" s="65"/>
      <c r="EF32" s="65"/>
      <c r="EG32" s="65"/>
    </row>
    <row r="33" spans="1:138" x14ac:dyDescent="0.25">
      <c r="A33" s="104"/>
      <c r="B33" s="20" t="s">
        <v>1</v>
      </c>
      <c r="C33" s="3">
        <f>'[11]a1(I)'!C$7</f>
        <v>0</v>
      </c>
      <c r="D33" s="4">
        <f>'[11]a1(I)'!D$7</f>
        <v>2.4980610034714693E-2</v>
      </c>
      <c r="E33" s="4">
        <f>'[11]a1(I)'!E$7</f>
        <v>8.1092562279239375E-2</v>
      </c>
      <c r="F33" s="4">
        <f>'[11]a1(I)'!F$7</f>
        <v>0.15866876207707484</v>
      </c>
      <c r="G33" s="4">
        <f>'[11]a1(I)'!G$7</f>
        <v>0.18755424186554803</v>
      </c>
      <c r="H33" s="4">
        <f>'[11]a1(I)'!H$7</f>
        <v>0.19182301289015694</v>
      </c>
      <c r="I33" s="4">
        <f>'[11]a1(I)'!I$7</f>
        <v>0.20836498538286582</v>
      </c>
      <c r="J33" s="4">
        <f>'[11]a1(I)'!J$7</f>
        <v>0.21356431308337512</v>
      </c>
      <c r="K33" s="4">
        <f>'[11]a1(I)'!K$7</f>
        <v>0.20849884899148183</v>
      </c>
      <c r="L33" s="4">
        <f>'[11]a1(I)'!L$7</f>
        <v>0.16843939405436018</v>
      </c>
      <c r="M33" s="4">
        <f>'[11]a1(I)'!M$7</f>
        <v>0.11425179122456375</v>
      </c>
      <c r="N33" s="4">
        <f>'[11]a1(I)'!N$7</f>
        <v>8.5300943930665896E-2</v>
      </c>
      <c r="O33" s="4">
        <f>'[11]a1(I)'!O$7</f>
        <v>4.1190164727439554E-2</v>
      </c>
      <c r="P33" s="4">
        <f>'[11]a1(I)'!P$7</f>
        <v>2.2369025844665727E-2</v>
      </c>
      <c r="Q33" s="27">
        <f>'[11]a1(I)'!Q$7</f>
        <v>1.3397776334711618E-2</v>
      </c>
      <c r="R33" s="11"/>
      <c r="S33" s="62">
        <v>5.456277331346147</v>
      </c>
      <c r="T33" s="46">
        <v>9.8633000127492227</v>
      </c>
      <c r="U33" s="55">
        <v>0.20734103773580126</v>
      </c>
      <c r="W33" s="55">
        <f t="shared" ref="W33:W34" si="244">SQRT(SUMSQ(AO33:BC33))</f>
        <v>3.9932935299253083E-2</v>
      </c>
      <c r="Y33" s="3">
        <f t="shared" ref="Y33:Y34" si="245">$U33 * (POWER(10, C$3-$S33)/(1 + POWER(10, C$3-$S33))) * (1 - POWER(10, C$3-$T33)/(1 + POWER(10, C$3-$T33)))</f>
        <v>1.2405453391140752E-2</v>
      </c>
      <c r="Z33" s="4">
        <f t="shared" ref="Z33:Z34" si="246">$U33 * (POWER(10, D$3-$S33)/(1 + POWER(10, D$3-$S33))) * (1 - POWER(10, D$3-$T33)/(1 + POWER(10, D$3-$T33)))</f>
        <v>2.8576037565723141E-2</v>
      </c>
      <c r="AA33" s="4">
        <f t="shared" ref="AA33:AA34" si="247">$U33 * (POWER(10, E$3-$S33)/(1 + POWER(10, E$3-$S33))) * (1 - POWER(10, E$3-$T33)/(1 + POWER(10, E$3-$T33)))</f>
        <v>6.8556770390568483E-2</v>
      </c>
      <c r="AB33" s="4">
        <f t="shared" ref="AB33:AB34" si="248">$U33 * (POWER(10, F$3-$S33)/(1 + POWER(10, F$3-$S33))) * (1 - POWER(10, F$3-$T33)/(1 + POWER(10, F$3-$T33)))</f>
        <v>0.16520690180893433</v>
      </c>
      <c r="AC33" s="4">
        <f t="shared" ref="AC33:AC34" si="249">$U33 * (POWER(10, G$3-$S33)/(1 + POWER(10, G$3-$S33))) * (1 - POWER(10, G$3-$T33)/(1 + POWER(10, G$3-$T33)))</f>
        <v>0.19527073510862539</v>
      </c>
      <c r="AD33" s="4">
        <f t="shared" ref="AD33:AD34" si="250">$U33 * (POWER(10, H$3-$S33)/(1 + POWER(10, H$3-$S33))) * (1 - POWER(10, H$3-$T33)/(1 + POWER(10, H$3-$T33)))</f>
        <v>0.20219127014572574</v>
      </c>
      <c r="AE33" s="4">
        <f t="shared" ref="AE33:AE34" si="251">$U33 * (POWER(10, I$3-$S33)/(1 + POWER(10, I$3-$S33))) * (1 - POWER(10, I$3-$T33)/(1 + POWER(10, I$3-$T33)))</f>
        <v>0.20461785338255017</v>
      </c>
      <c r="AF33" s="4">
        <f t="shared" ref="AF33:AF34" si="252">$U33 * (POWER(10, J$3-$S33)/(1 + POWER(10, J$3-$S33))) * (1 - POWER(10, J$3-$T33)/(1 + POWER(10, J$3-$T33)))</f>
        <v>0.20343163581286156</v>
      </c>
      <c r="AG33" s="4">
        <f t="shared" ref="AG33:AG34" si="253">$U33 * (POWER(10, K$3-$S33)/(1 + POWER(10, K$3-$S33))) * (1 - POWER(10, K$3-$T33)/(1 + POWER(10, K$3-$T33)))</f>
        <v>0.19209492149873597</v>
      </c>
      <c r="AH33" s="4">
        <f t="shared" ref="AH33:AH34" si="254">$U33 * (POWER(10, L$3-$S33)/(1 + POWER(10, L$3-$S33))) * (1 - POWER(10, L$3-$T33)/(1 + POWER(10, L$3-$T33)))</f>
        <v>0.16961897557520536</v>
      </c>
      <c r="AI33" s="4">
        <f t="shared" ref="AI33:AI34" si="255">$U33 * (POWER(10, M$3-$S33)/(1 + POWER(10, M$3-$S33))) * (1 - POWER(10, M$3-$T33)/(1 + POWER(10, M$3-$T33)))</f>
        <v>0.13415859861284168</v>
      </c>
      <c r="AJ33" s="4">
        <f t="shared" ref="AJ33:AJ34" si="256">$U33 * (POWER(10, N$3-$S33)/(1 + POWER(10, N$3-$S33))) * (1 - POWER(10, N$3-$T33)/(1 + POWER(10, N$3-$T33)))</f>
        <v>7.8327997340573635E-2</v>
      </c>
      <c r="AK33" s="4">
        <f t="shared" ref="AK33:AK34" si="257">$U33 * (POWER(10, O$3-$S33)/(1 + POWER(10, O$3-$S33))) * (1 - POWER(10, O$3-$T33)/(1 + POWER(10, O$3-$T33)))</f>
        <v>3.3396884507737749E-2</v>
      </c>
      <c r="AL33" s="4">
        <f t="shared" ref="AL33:AL34" si="258">$U33 * (POWER(10, P$3-$S33)/(1 + POWER(10, P$3-$S33))) * (1 - POWER(10, P$3-$T33)/(1 + POWER(10, P$3-$T33)))</f>
        <v>1.239410762380342E-2</v>
      </c>
      <c r="AM33" s="27">
        <f t="shared" ref="AM33:AM34" si="259">$U33 * (POWER(10, Q$3-$S33)/(1 + POWER(10, Q$3-$S33))) * (1 - POWER(10, Q$3-$T33)/(1 + POWER(10, Q$3-$T33)))</f>
        <v>5.1183439000204523E-3</v>
      </c>
      <c r="AO33" s="3">
        <f t="shared" si="243"/>
        <v>1.2405453391140752E-2</v>
      </c>
      <c r="AP33" s="4">
        <f t="shared" si="243"/>
        <v>3.5954275310084473E-3</v>
      </c>
      <c r="AQ33" s="4">
        <f t="shared" si="243"/>
        <v>-1.2535791888670891E-2</v>
      </c>
      <c r="AR33" s="4">
        <f t="shared" si="243"/>
        <v>6.538139731859488E-3</v>
      </c>
      <c r="AS33" s="4">
        <f t="shared" si="243"/>
        <v>7.7164932430773547E-3</v>
      </c>
      <c r="AT33" s="4">
        <f t="shared" si="243"/>
        <v>1.0368257255568808E-2</v>
      </c>
      <c r="AU33" s="4">
        <f t="shared" si="243"/>
        <v>-3.7471320003156505E-3</v>
      </c>
      <c r="AV33" s="4">
        <f t="shared" si="243"/>
        <v>-1.0132677270513563E-2</v>
      </c>
      <c r="AW33" s="4">
        <f t="shared" si="243"/>
        <v>-1.6403927492745857E-2</v>
      </c>
      <c r="AX33" s="4">
        <f t="shared" si="243"/>
        <v>1.1795815208451854E-3</v>
      </c>
      <c r="AY33" s="4">
        <f t="shared" si="243"/>
        <v>1.9906807388277936E-2</v>
      </c>
      <c r="AZ33" s="4">
        <f t="shared" si="243"/>
        <v>-6.9729465900922605E-3</v>
      </c>
      <c r="BA33" s="4">
        <f t="shared" si="243"/>
        <v>-7.793280219701805E-3</v>
      </c>
      <c r="BB33" s="4">
        <f t="shared" si="243"/>
        <v>-9.9749182208623069E-3</v>
      </c>
      <c r="BC33" s="27">
        <f t="shared" si="243"/>
        <v>-8.2794324346911648E-3</v>
      </c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  <c r="DH33" s="65"/>
      <c r="DI33" s="65"/>
      <c r="DJ33" s="65"/>
      <c r="DK33" s="65"/>
      <c r="DL33" s="65"/>
      <c r="DM33" s="65"/>
      <c r="DN33" s="65"/>
      <c r="DO33" s="65"/>
      <c r="DP33" s="65"/>
      <c r="DQ33" s="65"/>
      <c r="DR33" s="65"/>
      <c r="DS33" s="65"/>
      <c r="DT33" s="65"/>
      <c r="DU33" s="65"/>
      <c r="DV33" s="65"/>
      <c r="DW33" s="65"/>
      <c r="DX33" s="65"/>
      <c r="DY33" s="65"/>
      <c r="DZ33" s="65"/>
      <c r="EA33" s="65"/>
      <c r="EB33" s="65"/>
      <c r="EC33" s="65"/>
      <c r="ED33" s="65"/>
      <c r="EE33" s="65"/>
      <c r="EF33" s="65"/>
      <c r="EG33" s="65"/>
    </row>
    <row r="34" spans="1:138" ht="15.75" thickBot="1" x14ac:dyDescent="0.3">
      <c r="A34" s="104"/>
      <c r="B34" s="20" t="s">
        <v>2</v>
      </c>
      <c r="C34" s="3">
        <f>'[12]a1(I)'!C$7</f>
        <v>0</v>
      </c>
      <c r="D34" s="4">
        <f>'[12]a1(I)'!D$7</f>
        <v>1.8211678471558398E-2</v>
      </c>
      <c r="E34" s="4">
        <f>'[12]a1(I)'!E$7</f>
        <v>7.5652122808263347E-2</v>
      </c>
      <c r="F34" s="4">
        <f>'[12]a1(I)'!F$7</f>
        <v>0.15108326115673912</v>
      </c>
      <c r="G34" s="4">
        <f>'[12]a1(I)'!G$7</f>
        <v>0.18094742013738593</v>
      </c>
      <c r="H34" s="4">
        <f>'[12]a1(I)'!H$7</f>
        <v>0.20455587605538747</v>
      </c>
      <c r="I34" s="4">
        <f>'[12]a1(I)'!I$7</f>
        <v>0.20791540617139184</v>
      </c>
      <c r="J34" s="4">
        <f>'[12]a1(I)'!J$7</f>
        <v>0.21593422405953391</v>
      </c>
      <c r="K34" s="4">
        <f>'[12]a1(I)'!K$7</f>
        <v>0.2094335427683939</v>
      </c>
      <c r="L34" s="4">
        <f>'[12]a1(I)'!L$7</f>
        <v>0.16379151584689822</v>
      </c>
      <c r="M34" s="4">
        <f>'[12]a1(I)'!M$7</f>
        <v>0.12966399111646829</v>
      </c>
      <c r="N34" s="4">
        <f>'[12]a1(I)'!N$7</f>
        <v>7.9323710157152075E-2</v>
      </c>
      <c r="O34" s="4">
        <f>'[12]a1(I)'!O$7</f>
        <v>4.0583491261189271E-2</v>
      </c>
      <c r="P34" s="4">
        <f>'[12]a1(I)'!P$7</f>
        <v>1.124968978729439E-2</v>
      </c>
      <c r="Q34" s="27">
        <f>'[12]a1(I)'!Q$7</f>
        <v>3.0105389936606803E-3</v>
      </c>
      <c r="S34" s="60">
        <v>5.5608821313039405</v>
      </c>
      <c r="T34" s="47">
        <v>9.850176579151908</v>
      </c>
      <c r="U34" s="56">
        <v>0.21068529495533184</v>
      </c>
      <c r="W34" s="56">
        <f t="shared" si="244"/>
        <v>3.3670967011001064E-2</v>
      </c>
      <c r="Y34" s="12">
        <f t="shared" si="245"/>
        <v>1.0035860964100285E-2</v>
      </c>
      <c r="Z34" s="13">
        <f t="shared" si="246"/>
        <v>2.3515320136130773E-2</v>
      </c>
      <c r="AA34" s="13">
        <f t="shared" si="247"/>
        <v>5.8921522234793237E-2</v>
      </c>
      <c r="AB34" s="13">
        <f t="shared" si="248"/>
        <v>0.15907243157300824</v>
      </c>
      <c r="AC34" s="13">
        <f t="shared" si="249"/>
        <v>0.19535132255676335</v>
      </c>
      <c r="AD34" s="13">
        <f t="shared" si="250"/>
        <v>0.20415047042762793</v>
      </c>
      <c r="AE34" s="13">
        <f t="shared" si="251"/>
        <v>0.207395302128738</v>
      </c>
      <c r="AF34" s="13">
        <f t="shared" si="252"/>
        <v>0.20647738428858181</v>
      </c>
      <c r="AG34" s="13">
        <f t="shared" si="253"/>
        <v>0.19473033390336777</v>
      </c>
      <c r="AH34" s="13">
        <f t="shared" si="254"/>
        <v>0.17139066973864736</v>
      </c>
      <c r="AI34" s="13">
        <f t="shared" si="255"/>
        <v>0.13485969280892676</v>
      </c>
      <c r="AJ34" s="13">
        <f t="shared" si="256"/>
        <v>7.8100002366832594E-2</v>
      </c>
      <c r="AK34" s="13">
        <f t="shared" si="257"/>
        <v>3.3083984908135425E-2</v>
      </c>
      <c r="AL34" s="13">
        <f t="shared" si="258"/>
        <v>1.2240916058115961E-2</v>
      </c>
      <c r="AM34" s="26">
        <f t="shared" si="259"/>
        <v>5.0497990995683256E-3</v>
      </c>
      <c r="AO34" s="12">
        <f t="shared" si="243"/>
        <v>1.0035860964100285E-2</v>
      </c>
      <c r="AP34" s="13">
        <f t="shared" si="243"/>
        <v>5.3036416645723741E-3</v>
      </c>
      <c r="AQ34" s="13">
        <f t="shared" si="243"/>
        <v>-1.673060057347011E-2</v>
      </c>
      <c r="AR34" s="13">
        <f t="shared" si="243"/>
        <v>7.9891704162691202E-3</v>
      </c>
      <c r="AS34" s="13">
        <f t="shared" si="243"/>
        <v>1.4403902419377418E-2</v>
      </c>
      <c r="AT34" s="13">
        <f t="shared" si="243"/>
        <v>-4.0540562775953637E-4</v>
      </c>
      <c r="AU34" s="13">
        <f t="shared" si="243"/>
        <v>-5.2010404265384613E-4</v>
      </c>
      <c r="AV34" s="13">
        <f t="shared" si="243"/>
        <v>-9.4568397709521024E-3</v>
      </c>
      <c r="AW34" s="13">
        <f t="shared" si="243"/>
        <v>-1.4703208865026129E-2</v>
      </c>
      <c r="AX34" s="13">
        <f t="shared" si="243"/>
        <v>7.5991538917491441E-3</v>
      </c>
      <c r="AY34" s="13">
        <f t="shared" si="243"/>
        <v>5.1957016924584765E-3</v>
      </c>
      <c r="AZ34" s="13">
        <f t="shared" si="243"/>
        <v>-1.223707790319481E-3</v>
      </c>
      <c r="BA34" s="13">
        <f t="shared" si="243"/>
        <v>-7.4995063530538461E-3</v>
      </c>
      <c r="BB34" s="13">
        <f t="shared" si="243"/>
        <v>9.9122627082157133E-4</v>
      </c>
      <c r="BC34" s="26">
        <f t="shared" si="243"/>
        <v>2.0392601059076453E-3</v>
      </c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/>
      <c r="CC34" s="65"/>
      <c r="CD34" s="65"/>
      <c r="CE34" s="65"/>
      <c r="CF34" s="65"/>
      <c r="CG34" s="65"/>
      <c r="CH34" s="65"/>
      <c r="CI34" s="65"/>
      <c r="CJ34" s="65"/>
      <c r="CK34" s="65"/>
      <c r="CL34" s="65"/>
      <c r="CM34" s="65"/>
      <c r="CN34" s="65"/>
      <c r="CO34" s="65"/>
      <c r="CP34" s="65"/>
      <c r="CQ34" s="65"/>
      <c r="CR34" s="65"/>
      <c r="CS34" s="65"/>
      <c r="CT34" s="65"/>
      <c r="CU34" s="65"/>
      <c r="CV34" s="65"/>
      <c r="CW34" s="65"/>
      <c r="CX34" s="65"/>
      <c r="CY34" s="65"/>
      <c r="CZ34" s="65"/>
      <c r="DA34" s="65"/>
      <c r="DB34" s="65"/>
      <c r="DC34" s="65"/>
      <c r="DD34" s="65"/>
      <c r="DE34" s="65"/>
      <c r="DF34" s="65"/>
      <c r="DG34" s="65"/>
      <c r="DH34" s="65"/>
      <c r="DI34" s="65"/>
      <c r="DJ34" s="65"/>
      <c r="DK34" s="65"/>
      <c r="DL34" s="65"/>
      <c r="DM34" s="65"/>
      <c r="DN34" s="65"/>
      <c r="DO34" s="65"/>
      <c r="DP34" s="65"/>
      <c r="DQ34" s="65"/>
      <c r="DR34" s="65"/>
      <c r="DS34" s="65"/>
      <c r="DT34" s="65"/>
      <c r="DU34" s="65"/>
      <c r="DV34" s="65"/>
      <c r="DW34" s="65"/>
      <c r="DX34" s="65"/>
      <c r="DY34" s="65"/>
      <c r="DZ34" s="65"/>
      <c r="EA34" s="65"/>
      <c r="EB34" s="65"/>
      <c r="EC34" s="65"/>
      <c r="ED34" s="65"/>
      <c r="EE34" s="65"/>
      <c r="EF34" s="65"/>
      <c r="EG34" s="65"/>
    </row>
    <row r="35" spans="1:138" ht="15.75" x14ac:dyDescent="0.25">
      <c r="A35" s="104"/>
      <c r="B35" s="21" t="s">
        <v>3</v>
      </c>
      <c r="C35" s="8">
        <f t="shared" ref="C35:Q35" si="260">AVERAGE(C32:C34)</f>
        <v>1.0584977555160014E-3</v>
      </c>
      <c r="D35" s="9">
        <f t="shared" si="260"/>
        <v>2.3585186104083736E-2</v>
      </c>
      <c r="E35" s="9">
        <f t="shared" si="260"/>
        <v>8.2182052784524909E-2</v>
      </c>
      <c r="F35" s="9">
        <f t="shared" si="260"/>
        <v>0.16029008156082533</v>
      </c>
      <c r="G35" s="9">
        <f t="shared" si="260"/>
        <v>0.19462755125318812</v>
      </c>
      <c r="H35" s="9">
        <f t="shared" si="260"/>
        <v>0.20837604001717858</v>
      </c>
      <c r="I35" s="9">
        <f t="shared" si="260"/>
        <v>0.21472896796333255</v>
      </c>
      <c r="J35" s="9">
        <f t="shared" si="260"/>
        <v>0.22481703054939448</v>
      </c>
      <c r="K35" s="9">
        <f t="shared" si="260"/>
        <v>0.22123590825275863</v>
      </c>
      <c r="L35" s="9">
        <f t="shared" si="260"/>
        <v>0.17635652934257609</v>
      </c>
      <c r="M35" s="9">
        <f t="shared" si="260"/>
        <v>0.13245231326740348</v>
      </c>
      <c r="N35" s="9">
        <f t="shared" si="260"/>
        <v>9.1414422134622184E-2</v>
      </c>
      <c r="O35" s="9">
        <f t="shared" si="260"/>
        <v>5.1147748638487776E-2</v>
      </c>
      <c r="P35" s="9">
        <f t="shared" si="260"/>
        <v>2.3762735157200298E-2</v>
      </c>
      <c r="Q35" s="28">
        <f t="shared" si="260"/>
        <v>8.4771504177706385E-3</v>
      </c>
      <c r="S35" s="49">
        <f t="shared" ref="S35:U35" si="261">AVERAGE(S32:S34)</f>
        <v>5.5016771551470685</v>
      </c>
      <c r="T35" s="50">
        <f t="shared" si="261"/>
        <v>9.9207881833103357</v>
      </c>
      <c r="U35" s="28">
        <f t="shared" si="261"/>
        <v>0.21770791526252867</v>
      </c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  <c r="CA35" s="65"/>
      <c r="CB35" s="65"/>
      <c r="CC35" s="65"/>
      <c r="CD35" s="65"/>
      <c r="CE35" s="65"/>
      <c r="CF35" s="65"/>
      <c r="CG35" s="65"/>
      <c r="CH35" s="65"/>
      <c r="CI35" s="65"/>
      <c r="CJ35" s="65"/>
      <c r="CK35" s="65"/>
      <c r="CL35" s="65"/>
      <c r="CM35" s="65"/>
      <c r="CN35" s="65"/>
      <c r="CO35" s="65"/>
      <c r="CP35" s="65"/>
      <c r="CQ35" s="65"/>
      <c r="CR35" s="65"/>
      <c r="CS35" s="65"/>
      <c r="CT35" s="65"/>
      <c r="CU35" s="65"/>
      <c r="CV35" s="65"/>
      <c r="CW35" s="65"/>
      <c r="CX35" s="65"/>
      <c r="CY35" s="65"/>
      <c r="CZ35" s="65"/>
      <c r="DA35" s="65"/>
      <c r="DB35" s="65"/>
      <c r="DC35" s="65"/>
      <c r="DD35" s="65"/>
      <c r="DE35" s="65"/>
      <c r="DF35" s="65"/>
      <c r="DG35" s="65"/>
      <c r="DH35" s="65"/>
      <c r="DI35" s="65"/>
      <c r="DJ35" s="65"/>
      <c r="DK35" s="65"/>
      <c r="DL35" s="65"/>
      <c r="DM35" s="65"/>
      <c r="DN35" s="65"/>
      <c r="DO35" s="65"/>
      <c r="DP35" s="65"/>
      <c r="DQ35" s="65"/>
      <c r="DR35" s="65"/>
      <c r="DS35" s="65"/>
      <c r="DT35" s="65"/>
      <c r="DU35" s="65"/>
      <c r="DV35" s="65"/>
      <c r="DW35" s="65"/>
      <c r="DX35" s="65"/>
      <c r="DY35" s="65"/>
      <c r="DZ35" s="65"/>
      <c r="EA35" s="65"/>
      <c r="EB35" s="65"/>
      <c r="EC35" s="65"/>
      <c r="ED35" s="65"/>
      <c r="EE35" s="65"/>
      <c r="EF35" s="65"/>
      <c r="EG35" s="65"/>
    </row>
    <row r="36" spans="1:138" ht="16.5" thickBot="1" x14ac:dyDescent="0.3">
      <c r="A36" s="104"/>
      <c r="B36" s="22" t="s">
        <v>4</v>
      </c>
      <c r="C36" s="12">
        <f t="shared" ref="C36:Q36" si="262">STDEV(C32:C34)</f>
        <v>1.8333718922513343E-3</v>
      </c>
      <c r="D36" s="13">
        <f t="shared" si="262"/>
        <v>4.8294379674172919E-3</v>
      </c>
      <c r="E36" s="13">
        <f t="shared" si="262"/>
        <v>7.1373154452709399E-3</v>
      </c>
      <c r="F36" s="13">
        <f t="shared" si="262"/>
        <v>1.0115404891848036E-2</v>
      </c>
      <c r="G36" s="13">
        <f t="shared" si="262"/>
        <v>1.8274066128926174E-2</v>
      </c>
      <c r="H36" s="13">
        <f t="shared" si="262"/>
        <v>1.8757175625666048E-2</v>
      </c>
      <c r="I36" s="13">
        <f t="shared" si="262"/>
        <v>1.1414301867916509E-2</v>
      </c>
      <c r="J36" s="13">
        <f t="shared" si="262"/>
        <v>1.747808951922632E-2</v>
      </c>
      <c r="K36" s="13">
        <f t="shared" si="262"/>
        <v>2.1256903308087976E-2</v>
      </c>
      <c r="L36" s="13">
        <f t="shared" si="262"/>
        <v>1.7889648041871049E-2</v>
      </c>
      <c r="M36" s="13">
        <f t="shared" si="262"/>
        <v>1.974291421801545E-2</v>
      </c>
      <c r="N36" s="13">
        <f t="shared" si="262"/>
        <v>1.6046066060469905E-2</v>
      </c>
      <c r="O36" s="13">
        <f t="shared" si="262"/>
        <v>1.7775024347992656E-2</v>
      </c>
      <c r="P36" s="13">
        <f t="shared" si="262"/>
        <v>1.326492660881977E-2</v>
      </c>
      <c r="Q36" s="26">
        <f t="shared" si="262"/>
        <v>5.2150982757144309E-3</v>
      </c>
      <c r="S36" s="51">
        <f t="shared" ref="S36:U36" si="263">STDEV(S32:S34)</f>
        <v>5.3651446553012475E-2</v>
      </c>
      <c r="T36" s="52">
        <f t="shared" si="263"/>
        <v>0.11113154520541575</v>
      </c>
      <c r="U36" s="26">
        <f t="shared" si="263"/>
        <v>1.5152293234842008E-2</v>
      </c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5"/>
      <c r="BP36" s="65"/>
      <c r="BQ36" s="65"/>
      <c r="BR36" s="65"/>
      <c r="BS36" s="65"/>
      <c r="BT36" s="65"/>
      <c r="BU36" s="65"/>
      <c r="BV36" s="65"/>
      <c r="BW36" s="65"/>
      <c r="BX36" s="65"/>
      <c r="BY36" s="65"/>
      <c r="BZ36" s="65"/>
      <c r="CA36" s="65"/>
      <c r="CB36" s="65"/>
      <c r="CC36" s="65"/>
      <c r="CD36" s="65"/>
      <c r="CE36" s="65"/>
      <c r="CF36" s="65"/>
      <c r="CG36" s="65"/>
      <c r="CH36" s="65"/>
      <c r="CI36" s="65"/>
      <c r="CJ36" s="65"/>
      <c r="CK36" s="65"/>
      <c r="CL36" s="65"/>
      <c r="CM36" s="65"/>
      <c r="CN36" s="65"/>
      <c r="CO36" s="65"/>
      <c r="CP36" s="65"/>
      <c r="CQ36" s="65"/>
      <c r="CR36" s="65"/>
      <c r="CS36" s="65"/>
      <c r="CT36" s="65"/>
      <c r="CU36" s="65"/>
      <c r="CV36" s="65"/>
      <c r="CW36" s="65"/>
      <c r="CX36" s="65"/>
      <c r="CY36" s="65"/>
      <c r="CZ36" s="65"/>
      <c r="DA36" s="65"/>
      <c r="DB36" s="65"/>
      <c r="DC36" s="65"/>
      <c r="DD36" s="65"/>
      <c r="DE36" s="65"/>
      <c r="DF36" s="65"/>
      <c r="DG36" s="65"/>
      <c r="DH36" s="65"/>
      <c r="DI36" s="65"/>
      <c r="DJ36" s="65"/>
      <c r="DK36" s="65"/>
      <c r="DL36" s="65"/>
      <c r="DM36" s="65"/>
      <c r="DN36" s="65"/>
      <c r="DO36" s="65"/>
      <c r="DP36" s="65"/>
      <c r="DQ36" s="65"/>
      <c r="DR36" s="65"/>
      <c r="DS36" s="65"/>
      <c r="DT36" s="65"/>
      <c r="DU36" s="65"/>
      <c r="DV36" s="65"/>
      <c r="DW36" s="65"/>
      <c r="DX36" s="65"/>
      <c r="DY36" s="65"/>
      <c r="DZ36" s="65"/>
      <c r="EA36" s="65"/>
      <c r="EB36" s="65"/>
      <c r="EC36" s="65"/>
      <c r="ED36" s="65"/>
      <c r="EE36" s="65"/>
      <c r="EF36" s="65"/>
      <c r="EG36" s="65"/>
    </row>
    <row r="37" spans="1:138" x14ac:dyDescent="0.25">
      <c r="A37" s="104"/>
      <c r="B37" s="7" t="s">
        <v>7</v>
      </c>
      <c r="C37" s="8">
        <f>C35/MAX($C$35:$Q$35)</f>
        <v>4.7082632171117442E-3</v>
      </c>
      <c r="D37" s="9">
        <f t="shared" ref="D37:Q37" si="264">D35/MAX($C$35:$Q$35)</f>
        <v>0.10490836057414184</v>
      </c>
      <c r="E37" s="9">
        <f t="shared" si="264"/>
        <v>0.36555083297601298</v>
      </c>
      <c r="F37" s="9">
        <f t="shared" si="264"/>
        <v>0.71298015621466926</v>
      </c>
      <c r="G37" s="9">
        <f t="shared" si="264"/>
        <v>0.86571533650083754</v>
      </c>
      <c r="H37" s="9">
        <f t="shared" si="264"/>
        <v>0.92686946139250048</v>
      </c>
      <c r="I37" s="9">
        <f t="shared" si="264"/>
        <v>0.95512767622003847</v>
      </c>
      <c r="J37" s="9">
        <f t="shared" si="264"/>
        <v>1</v>
      </c>
      <c r="K37" s="9">
        <f t="shared" si="264"/>
        <v>0.98407094743719137</v>
      </c>
      <c r="L37" s="9">
        <f t="shared" si="264"/>
        <v>0.7844447055972873</v>
      </c>
      <c r="M37" s="9">
        <f t="shared" si="264"/>
        <v>0.58915604811487987</v>
      </c>
      <c r="N37" s="9">
        <f t="shared" si="264"/>
        <v>0.40661698053403278</v>
      </c>
      <c r="O37" s="9">
        <f t="shared" si="264"/>
        <v>0.22750833650589528</v>
      </c>
      <c r="P37" s="9">
        <f t="shared" si="264"/>
        <v>0.10569810969894203</v>
      </c>
      <c r="Q37" s="28">
        <f t="shared" si="264"/>
        <v>3.7706887227603188E-2</v>
      </c>
      <c r="BE37" s="65"/>
      <c r="BF37" s="65"/>
      <c r="BG37" s="65"/>
      <c r="BH37" s="65"/>
      <c r="BI37" s="65"/>
      <c r="BJ37" s="65"/>
      <c r="BK37" s="65"/>
      <c r="BL37" s="65"/>
      <c r="BM37" s="65"/>
      <c r="BN37" s="65"/>
      <c r="BO37" s="65"/>
      <c r="BP37" s="65"/>
      <c r="BQ37" s="65"/>
      <c r="BR37" s="65"/>
      <c r="BS37" s="65"/>
      <c r="BT37" s="65"/>
      <c r="BU37" s="65"/>
      <c r="BV37" s="65"/>
      <c r="BW37" s="65"/>
      <c r="BX37" s="65"/>
      <c r="BY37" s="65"/>
      <c r="BZ37" s="65"/>
      <c r="CA37" s="65"/>
      <c r="CB37" s="65"/>
      <c r="CC37" s="65"/>
      <c r="CD37" s="65"/>
      <c r="CE37" s="65"/>
      <c r="CF37" s="65"/>
      <c r="CG37" s="65"/>
      <c r="CH37" s="65"/>
      <c r="CI37" s="65"/>
      <c r="CJ37" s="65"/>
      <c r="CK37" s="65"/>
      <c r="CL37" s="65"/>
      <c r="CM37" s="65"/>
      <c r="CN37" s="65"/>
      <c r="CO37" s="65"/>
      <c r="CP37" s="65"/>
      <c r="CQ37" s="65"/>
      <c r="CR37" s="65"/>
      <c r="CS37" s="65"/>
      <c r="CT37" s="65"/>
      <c r="CU37" s="65"/>
      <c r="CV37" s="65"/>
      <c r="CW37" s="65"/>
      <c r="CX37" s="65"/>
      <c r="CY37" s="65"/>
      <c r="CZ37" s="65"/>
      <c r="DA37" s="65"/>
      <c r="DB37" s="65"/>
      <c r="DC37" s="65"/>
      <c r="DD37" s="65"/>
      <c r="DE37" s="65"/>
      <c r="DF37" s="65"/>
      <c r="DG37" s="65"/>
      <c r="DH37" s="65"/>
      <c r="DI37" s="65"/>
      <c r="DJ37" s="65"/>
      <c r="DK37" s="65"/>
      <c r="DL37" s="65"/>
      <c r="DM37" s="65"/>
      <c r="DN37" s="65"/>
      <c r="DO37" s="65"/>
      <c r="DP37" s="65"/>
      <c r="DQ37" s="65"/>
      <c r="DR37" s="65"/>
      <c r="DS37" s="65"/>
      <c r="DT37" s="65"/>
      <c r="DU37" s="65"/>
      <c r="DV37" s="65"/>
      <c r="DW37" s="65"/>
      <c r="DX37" s="65"/>
      <c r="DY37" s="65"/>
      <c r="DZ37" s="65"/>
      <c r="EA37" s="65"/>
      <c r="EB37" s="65"/>
      <c r="EC37" s="65"/>
      <c r="ED37" s="65"/>
      <c r="EE37" s="65"/>
      <c r="EF37" s="65"/>
      <c r="EG37" s="65"/>
    </row>
    <row r="38" spans="1:138" ht="15.75" thickBot="1" x14ac:dyDescent="0.3">
      <c r="A38" s="105"/>
      <c r="B38" s="10" t="s">
        <v>4</v>
      </c>
      <c r="C38" s="12">
        <f>C36/MAX($C$35:$Q$35)</f>
        <v>8.1549511074452373E-3</v>
      </c>
      <c r="D38" s="13">
        <f t="shared" ref="D38:Q38" si="265">D36/MAX($C$35:$Q$35)</f>
        <v>2.1481637559287208E-2</v>
      </c>
      <c r="E38" s="13">
        <f t="shared" si="265"/>
        <v>3.174721873974224E-2</v>
      </c>
      <c r="F38" s="13">
        <f t="shared" si="265"/>
        <v>4.4993944040309632E-2</v>
      </c>
      <c r="G38" s="13">
        <f t="shared" si="265"/>
        <v>8.1284171774127154E-2</v>
      </c>
      <c r="H38" s="13">
        <f t="shared" si="265"/>
        <v>8.3433072573854294E-2</v>
      </c>
      <c r="I38" s="13">
        <f t="shared" si="265"/>
        <v>5.07715177983755E-2</v>
      </c>
      <c r="J38" s="13">
        <f t="shared" si="265"/>
        <v>7.774361878419267E-2</v>
      </c>
      <c r="K38" s="13">
        <f t="shared" si="265"/>
        <v>9.4552015281678711E-2</v>
      </c>
      <c r="L38" s="13">
        <f t="shared" si="265"/>
        <v>7.9574256443799618E-2</v>
      </c>
      <c r="M38" s="13">
        <f t="shared" si="265"/>
        <v>8.7817698551434883E-2</v>
      </c>
      <c r="N38" s="13">
        <f t="shared" si="265"/>
        <v>7.1373890230902362E-2</v>
      </c>
      <c r="O38" s="13">
        <f t="shared" si="265"/>
        <v>7.906440319292142E-2</v>
      </c>
      <c r="P38" s="13">
        <f t="shared" si="265"/>
        <v>5.9003210639352953E-2</v>
      </c>
      <c r="Q38" s="26">
        <f t="shared" si="265"/>
        <v>2.3197078366216671E-2</v>
      </c>
      <c r="S38" s="63">
        <v>0.5</v>
      </c>
      <c r="T38" s="63">
        <v>0.5</v>
      </c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  <c r="CA38" s="65"/>
      <c r="CB38" s="65"/>
      <c r="CC38" s="65"/>
      <c r="CD38" s="65"/>
      <c r="CE38" s="65"/>
      <c r="CF38" s="65"/>
      <c r="CG38" s="65"/>
      <c r="CH38" s="65"/>
      <c r="CI38" s="65"/>
      <c r="CJ38" s="65"/>
      <c r="CK38" s="65"/>
      <c r="CL38" s="65"/>
      <c r="CM38" s="65"/>
      <c r="CN38" s="65"/>
      <c r="CO38" s="65"/>
      <c r="CP38" s="65"/>
      <c r="CQ38" s="65"/>
      <c r="CR38" s="65"/>
      <c r="CS38" s="65"/>
      <c r="CT38" s="65"/>
      <c r="CU38" s="65"/>
      <c r="CV38" s="65"/>
      <c r="CW38" s="65"/>
      <c r="CX38" s="65"/>
      <c r="CY38" s="65"/>
      <c r="CZ38" s="65"/>
      <c r="DA38" s="65"/>
      <c r="DB38" s="65"/>
      <c r="DC38" s="65"/>
      <c r="DD38" s="65"/>
      <c r="DE38" s="65"/>
      <c r="DF38" s="65"/>
      <c r="DG38" s="65"/>
      <c r="DH38" s="65"/>
      <c r="DI38" s="65"/>
      <c r="DJ38" s="65"/>
      <c r="DK38" s="65"/>
      <c r="DL38" s="65"/>
      <c r="DM38" s="65"/>
      <c r="DN38" s="65"/>
      <c r="DO38" s="65"/>
      <c r="DP38" s="65"/>
      <c r="DQ38" s="65"/>
      <c r="DR38" s="65"/>
      <c r="DS38" s="65"/>
      <c r="DT38" s="65"/>
      <c r="DU38" s="65"/>
      <c r="DV38" s="65"/>
      <c r="DW38" s="65"/>
      <c r="DX38" s="65"/>
      <c r="DY38" s="65"/>
      <c r="DZ38" s="65"/>
      <c r="EA38" s="65"/>
      <c r="EB38" s="65"/>
      <c r="EC38" s="65"/>
      <c r="ED38" s="65"/>
      <c r="EE38" s="65"/>
      <c r="EF38" s="65"/>
      <c r="EG38" s="65"/>
    </row>
    <row r="39" spans="1:138" ht="15.75" thickBot="1" x14ac:dyDescent="0.3">
      <c r="B39" s="17" t="s">
        <v>11</v>
      </c>
      <c r="C39" s="57">
        <f>(POWER(10, C$3-$S35)/(1 + POWER(10, C$3-$S35))) * (1 - POWER(10, C$3-$T35)/(1 + POWER(10, C$3-$T35)))</f>
        <v>5.4214386276079961E-2</v>
      </c>
      <c r="D39" s="58">
        <f t="shared" ref="D39:Q39" si="266">(POWER(10, D$3-$S35)/(1 + POWER(10, D$3-$S35))) * (1 - POWER(10, D$3-$T35)/(1 + POWER(10, D$3-$T35)))</f>
        <v>0.12586339105091232</v>
      </c>
      <c r="E39" s="58">
        <f t="shared" si="266"/>
        <v>0.30793501937898193</v>
      </c>
      <c r="F39" s="58">
        <f t="shared" si="266"/>
        <v>0.77936154186622153</v>
      </c>
      <c r="G39" s="58">
        <f t="shared" si="266"/>
        <v>0.93591831846298668</v>
      </c>
      <c r="H39" s="58">
        <f t="shared" si="266"/>
        <v>0.9728711309676511</v>
      </c>
      <c r="I39" s="58">
        <f t="shared" si="266"/>
        <v>0.98645432670589051</v>
      </c>
      <c r="J39" s="58">
        <f t="shared" si="266"/>
        <v>0.98291429311942313</v>
      </c>
      <c r="K39" s="58">
        <f t="shared" si="266"/>
        <v>0.93488750005003129</v>
      </c>
      <c r="L39" s="58">
        <f t="shared" si="266"/>
        <v>0.8369148075134859</v>
      </c>
      <c r="M39" s="58">
        <f t="shared" si="266"/>
        <v>0.67664489135095796</v>
      </c>
      <c r="N39" s="58">
        <f t="shared" si="266"/>
        <v>0.40935232831529961</v>
      </c>
      <c r="O39" s="58">
        <f t="shared" si="266"/>
        <v>0.1797707447277192</v>
      </c>
      <c r="P39" s="58">
        <f t="shared" si="266"/>
        <v>6.7664244242014907E-2</v>
      </c>
      <c r="Q39" s="59">
        <f t="shared" si="266"/>
        <v>2.8081326419708629E-2</v>
      </c>
      <c r="BE39" s="67">
        <f>(POWER(10, BE$3-$S35)/(1 + POWER(10, BE$3-$S35))) * (1 - POWER(10, BE$3-$T35)/(1 + POWER(10, BE$3-$T35)))</f>
        <v>3.0538852614557882E-2</v>
      </c>
      <c r="BF39" s="67">
        <f t="shared" ref="BF39:DQ39" si="267">(POWER(10, BF$3-$S35)/(1 + POWER(10, BF$3-$S35))) * (1 - POWER(10, BF$3-$T35)/(1 + POWER(10, BF$3-$T35)))</f>
        <v>3.8144505816837281E-2</v>
      </c>
      <c r="BG39" s="67">
        <f t="shared" si="267"/>
        <v>4.7551422678896033E-2</v>
      </c>
      <c r="BH39" s="67">
        <f t="shared" si="267"/>
        <v>5.9135570302519307E-2</v>
      </c>
      <c r="BI39" s="67">
        <f t="shared" si="267"/>
        <v>7.3324500457420505E-2</v>
      </c>
      <c r="BJ39" s="67">
        <f t="shared" si="267"/>
        <v>9.0590094530712484E-2</v>
      </c>
      <c r="BK39" s="67">
        <f t="shared" si="267"/>
        <v>0.11143228574470243</v>
      </c>
      <c r="BL39" s="67">
        <f t="shared" si="267"/>
        <v>0.13635066578296304</v>
      </c>
      <c r="BM39" s="67">
        <f t="shared" si="267"/>
        <v>0.16580145289346726</v>
      </c>
      <c r="BN39" s="67">
        <f t="shared" si="267"/>
        <v>0.20013917151252708</v>
      </c>
      <c r="BO39" s="67">
        <f t="shared" si="267"/>
        <v>0.23954600694098549</v>
      </c>
      <c r="BP39" s="67">
        <f t="shared" si="267"/>
        <v>0.28395709631626936</v>
      </c>
      <c r="BQ39" s="67">
        <f t="shared" si="267"/>
        <v>0.33299593984070808</v>
      </c>
      <c r="BR39" s="67">
        <f t="shared" si="267"/>
        <v>0.38593832240047082</v>
      </c>
      <c r="BS39" s="67">
        <f t="shared" si="267"/>
        <v>0.44172249905091843</v>
      </c>
      <c r="BT39" s="67">
        <f t="shared" si="267"/>
        <v>0.49901561544557327</v>
      </c>
      <c r="BU39" s="67">
        <f t="shared" si="267"/>
        <v>0.55633208100703579</v>
      </c>
      <c r="BV39" s="67">
        <f t="shared" si="267"/>
        <v>0.61218358267801931</v>
      </c>
      <c r="BW39" s="67">
        <f t="shared" si="267"/>
        <v>0.66522964920730276</v>
      </c>
      <c r="BX39" s="67">
        <f t="shared" si="267"/>
        <v>0.71439748016219384</v>
      </c>
      <c r="BY39" s="67">
        <f t="shared" si="267"/>
        <v>0.75895024040124759</v>
      </c>
      <c r="BZ39" s="67">
        <f t="shared" si="267"/>
        <v>0.79849899083625853</v>
      </c>
      <c r="CA39" s="67">
        <f t="shared" si="267"/>
        <v>0.83296783570267086</v>
      </c>
      <c r="CB39" s="67">
        <f t="shared" si="267"/>
        <v>0.86252989806824965</v>
      </c>
      <c r="CC39" s="67">
        <f t="shared" si="267"/>
        <v>0.8875325841330024</v>
      </c>
      <c r="CD39" s="67">
        <f t="shared" si="267"/>
        <v>0.90842650019419546</v>
      </c>
      <c r="CE39" s="67">
        <f t="shared" si="267"/>
        <v>0.92570647460911604</v>
      </c>
      <c r="CF39" s="67">
        <f t="shared" si="267"/>
        <v>0.93986779245505625</v>
      </c>
      <c r="CG39" s="67">
        <f t="shared" si="267"/>
        <v>0.95137707322303999</v>
      </c>
      <c r="CH39" s="67">
        <f t="shared" si="267"/>
        <v>0.96065529339957378</v>
      </c>
      <c r="CI39" s="67">
        <f t="shared" si="267"/>
        <v>0.96806984763953396</v>
      </c>
      <c r="CJ39" s="67">
        <f t="shared" si="267"/>
        <v>0.97393272055446789</v>
      </c>
      <c r="CK39" s="67">
        <f t="shared" si="267"/>
        <v>0.97850237372739635</v>
      </c>
      <c r="CL39" s="67">
        <f t="shared" si="267"/>
        <v>0.98198756345591576</v>
      </c>
      <c r="CM39" s="67">
        <f t="shared" si="267"/>
        <v>0.98455185181012084</v>
      </c>
      <c r="CN39" s="67">
        <f t="shared" si="267"/>
        <v>0.98631800402367553</v>
      </c>
      <c r="CO39" s="67">
        <f t="shared" si="267"/>
        <v>0.98737177551657451</v>
      </c>
      <c r="CP39" s="67">
        <f t="shared" si="267"/>
        <v>0.98776480057427751</v>
      </c>
      <c r="CQ39" s="67">
        <f t="shared" si="267"/>
        <v>0.98751642709069587</v>
      </c>
      <c r="CR39" s="67">
        <f t="shared" si="267"/>
        <v>0.98661442241773067</v>
      </c>
      <c r="CS39" s="67">
        <f t="shared" si="267"/>
        <v>0.98501452593377437</v>
      </c>
      <c r="CT39" s="67">
        <f t="shared" si="267"/>
        <v>0.98263886351393503</v>
      </c>
      <c r="CU39" s="67">
        <f t="shared" si="267"/>
        <v>0.97937328559119807</v>
      </c>
      <c r="CV39" s="67">
        <f t="shared" si="267"/>
        <v>0.97506376259977334</v>
      </c>
      <c r="CW39" s="67">
        <f t="shared" si="267"/>
        <v>0.96951209029884322</v>
      </c>
      <c r="CX39" s="67">
        <f t="shared" si="267"/>
        <v>0.96247134680650837</v>
      </c>
      <c r="CY39" s="67">
        <f t="shared" si="267"/>
        <v>0.95364182861050195</v>
      </c>
      <c r="CZ39" s="67">
        <f t="shared" si="267"/>
        <v>0.9426685954432199</v>
      </c>
      <c r="DA39" s="67">
        <f t="shared" si="267"/>
        <v>0.92914227708736086</v>
      </c>
      <c r="DB39" s="67">
        <f t="shared" si="267"/>
        <v>0.91260540021640113</v>
      </c>
      <c r="DC39" s="67">
        <f t="shared" si="267"/>
        <v>0.89256706218599502</v>
      </c>
      <c r="DD39" s="67">
        <f t="shared" si="267"/>
        <v>0.86852906877785363</v>
      </c>
      <c r="DE39" s="67">
        <f t="shared" si="267"/>
        <v>0.84002626625633769</v>
      </c>
      <c r="DF39" s="67">
        <f t="shared" si="267"/>
        <v>0.80668221229797754</v>
      </c>
      <c r="DG39" s="67">
        <f t="shared" si="267"/>
        <v>0.76827806490690065</v>
      </c>
      <c r="DH39" s="67">
        <f t="shared" si="267"/>
        <v>0.7248275462550936</v>
      </c>
      <c r="DI39" s="67">
        <f t="shared" si="267"/>
        <v>0.67664489135096773</v>
      </c>
      <c r="DJ39" s="67">
        <f t="shared" si="267"/>
        <v>0.62438792276681609</v>
      </c>
      <c r="DK39" s="67">
        <f t="shared" si="267"/>
        <v>0.56905786932651736</v>
      </c>
      <c r="DL39" s="67">
        <f t="shared" si="267"/>
        <v>0.51194389622304548</v>
      </c>
      <c r="DM39" s="67">
        <f t="shared" si="267"/>
        <v>0.45451357356816313</v>
      </c>
      <c r="DN39" s="67">
        <f t="shared" si="267"/>
        <v>0.39826671902769906</v>
      </c>
      <c r="DO39" s="67">
        <f t="shared" si="267"/>
        <v>0.34458235788011093</v>
      </c>
      <c r="DP39" s="67">
        <f t="shared" si="267"/>
        <v>0.29459095678253988</v>
      </c>
      <c r="DQ39" s="67">
        <f t="shared" si="267"/>
        <v>0.2490953703915626</v>
      </c>
      <c r="DR39" s="67">
        <f t="shared" ref="DR39:EG39" si="268">(POWER(10, DR$3-$S35)/(1 + POWER(10, DR$3-$S35))) * (1 - POWER(10, DR$3-$T35)/(1 + POWER(10, DR$3-$T35)))</f>
        <v>0.20854846610390756</v>
      </c>
      <c r="DS39" s="67">
        <f t="shared" si="268"/>
        <v>0.17308019932797905</v>
      </c>
      <c r="DT39" s="67">
        <f t="shared" si="268"/>
        <v>0.14255747480272013</v>
      </c>
      <c r="DU39" s="67">
        <f t="shared" si="268"/>
        <v>0.11665801502929463</v>
      </c>
      <c r="DV39" s="67">
        <f t="shared" si="268"/>
        <v>9.4942850991951447E-2</v>
      </c>
      <c r="DW39" s="67">
        <f t="shared" si="268"/>
        <v>7.6917834681887468E-2</v>
      </c>
      <c r="DX39" s="67">
        <f t="shared" si="268"/>
        <v>6.208014804287431E-2</v>
      </c>
      <c r="DY39" s="67">
        <f t="shared" si="268"/>
        <v>4.9949807404874889E-2</v>
      </c>
      <c r="DZ39" s="67">
        <f t="shared" si="268"/>
        <v>4.0088398251877495E-2</v>
      </c>
      <c r="EA39" s="67">
        <f t="shared" si="268"/>
        <v>3.2108090320197534E-2</v>
      </c>
      <c r="EB39" s="67">
        <f t="shared" si="268"/>
        <v>2.5673913076741495E-2</v>
      </c>
      <c r="EC39" s="67">
        <f t="shared" si="268"/>
        <v>2.0501775929594498E-2</v>
      </c>
      <c r="ED39" s="67">
        <f t="shared" si="268"/>
        <v>1.6354101509142994E-2</v>
      </c>
      <c r="EE39" s="67">
        <f t="shared" si="268"/>
        <v>1.3034368403149803E-2</v>
      </c>
      <c r="EF39" s="67">
        <f t="shared" si="268"/>
        <v>1.0381398398806814E-2</v>
      </c>
      <c r="EG39" s="67">
        <f t="shared" si="268"/>
        <v>8.263883266368597E-3</v>
      </c>
      <c r="EH39" s="68">
        <f>MAX(BE39:EG39)</f>
        <v>0.98776480057427751</v>
      </c>
    </row>
    <row r="40" spans="1:138" x14ac:dyDescent="0.25">
      <c r="BE40" s="83">
        <f>BE39*MAX($C35:$Q35)</f>
        <v>6.8656541611905146E-3</v>
      </c>
      <c r="BF40" s="83">
        <f t="shared" ref="BF40" si="269">BF39*MAX($C35:$Q35)</f>
        <v>8.575534529515462E-3</v>
      </c>
      <c r="BG40" s="83">
        <f t="shared" ref="BG40" si="270">BG39*MAX($C35:$Q35)</f>
        <v>1.0690369645068538E-2</v>
      </c>
      <c r="BH40" s="83">
        <f t="shared" ref="BH40" si="271">BH39*MAX($C35:$Q35)</f>
        <v>1.3294683315257348E-2</v>
      </c>
      <c r="BI40" s="83">
        <f t="shared" ref="BI40" si="272">BI39*MAX($C35:$Q35)</f>
        <v>1.6484596459354996E-2</v>
      </c>
      <c r="BJ40" s="83">
        <f t="shared" ref="BJ40" si="273">BJ39*MAX($C35:$Q35)</f>
        <v>2.0366196049583722E-2</v>
      </c>
      <c r="BK40" s="83">
        <f t="shared" ref="BK40" si="274">BK39*MAX($C35:$Q35)</f>
        <v>2.5051875588455622E-2</v>
      </c>
      <c r="BL40" s="83">
        <f t="shared" ref="BL40" si="275">BL39*MAX($C35:$Q35)</f>
        <v>3.0653951794758678E-2</v>
      </c>
      <c r="BM40" s="83">
        <f t="shared" ref="BM40" si="276">BM39*MAX($C35:$Q35)</f>
        <v>3.7274990300284618E-2</v>
      </c>
      <c r="BN40" s="83">
        <f t="shared" ref="BN40" si="277">BN39*MAX($C35:$Q35)</f>
        <v>4.4994694236062303E-2</v>
      </c>
      <c r="BO40" s="83">
        <f t="shared" ref="BO40" si="278">BO39*MAX($C35:$Q35)</f>
        <v>5.3854021960436996E-2</v>
      </c>
      <c r="BP40" s="83">
        <f t="shared" ref="BP40" si="279">BP39*MAX($C35:$Q35)</f>
        <v>6.3838391197252084E-2</v>
      </c>
      <c r="BQ40" s="83">
        <f t="shared" ref="BQ40" si="280">BQ39*MAX($C35:$Q35)</f>
        <v>7.4863158379992786E-2</v>
      </c>
      <c r="BR40" s="83">
        <f t="shared" ref="BR40" si="281">BR39*MAX($C35:$Q35)</f>
        <v>8.6765507617288698E-2</v>
      </c>
      <c r="BS40" s="83">
        <f t="shared" ref="BS40" si="282">BS39*MAX($C35:$Q35)</f>
        <v>9.9306740563485194E-2</v>
      </c>
      <c r="BT40" s="83">
        <f t="shared" ref="BT40" si="283">BT39*MAX($C35:$Q35)</f>
        <v>0.11218720886225234</v>
      </c>
      <c r="BU40" s="83">
        <f t="shared" ref="BU40" si="284">BU39*MAX($C35:$Q35)</f>
        <v>0.12507292645136697</v>
      </c>
      <c r="BV40" s="83">
        <f t="shared" ref="BV40" si="285">BV39*MAX($C35:$Q35)</f>
        <v>0.13762929520876202</v>
      </c>
      <c r="BW40" s="83">
        <f t="shared" ref="BW40" si="286">BW39*MAX($C35:$Q35)</f>
        <v>0.14955495436820115</v>
      </c>
      <c r="BX40" s="83">
        <f t="shared" ref="BX40" si="287">BX39*MAX($C35:$Q35)</f>
        <v>0.16060872012203437</v>
      </c>
      <c r="BY40" s="83">
        <f t="shared" ref="BY40" si="288">BY39*MAX($C35:$Q35)</f>
        <v>0.17062493938175757</v>
      </c>
      <c r="BZ40" s="83">
        <f t="shared" ref="BZ40" si="289">BZ39*MAX($C35:$Q35)</f>
        <v>0.17951617201649578</v>
      </c>
      <c r="CA40" s="83">
        <f t="shared" ref="CA40" si="290">CA39*MAX($C35:$Q35)</f>
        <v>0.18726535536583036</v>
      </c>
      <c r="CB40" s="83">
        <f t="shared" ref="CB40" si="291">CB39*MAX($C35:$Q35)</f>
        <v>0.19391141044377577</v>
      </c>
      <c r="CC40" s="83">
        <f t="shared" ref="CC40" si="292">CC39*MAX($C35:$Q35)</f>
        <v>0.19953244008061222</v>
      </c>
      <c r="CD40" s="83">
        <f t="shared" ref="CD40" si="293">CD39*MAX($C35:$Q35)</f>
        <v>0.20422974824603796</v>
      </c>
      <c r="CE40" s="83">
        <f t="shared" ref="CE40" si="294">CE39*MAX($C35:$Q35)</f>
        <v>0.2081145807819699</v>
      </c>
      <c r="CF40" s="83">
        <f t="shared" ref="CF40" si="295">CF39*MAX($C35:$Q35)</f>
        <v>0.21129828620876032</v>
      </c>
      <c r="CG40" s="83">
        <f t="shared" ref="CG40" si="296">CG39*MAX($C35:$Q35)</f>
        <v>0.2138857685347777</v>
      </c>
      <c r="CH40" s="83">
        <f t="shared" ref="CH40" si="297">CH39*MAX($C35:$Q35)</f>
        <v>0.21597167044364948</v>
      </c>
      <c r="CI40" s="83">
        <f t="shared" ref="CI40" si="298">CI39*MAX($C35:$Q35)</f>
        <v>0.21763858851072476</v>
      </c>
      <c r="CJ40" s="83">
        <f t="shared" ref="CJ40" si="299">CJ39*MAX($C35:$Q35)</f>
        <v>0.21895666218994869</v>
      </c>
      <c r="CK40" s="83">
        <f t="shared" ref="CK40" si="300">CK39*MAX($C35:$Q35)</f>
        <v>0.21998399804692709</v>
      </c>
      <c r="CL40" s="83">
        <f t="shared" ref="CL40" si="301">CL39*MAX($C35:$Q35)</f>
        <v>0.22076752805259406</v>
      </c>
      <c r="CM40" s="83">
        <f t="shared" ref="CM40" si="302">CM39*MAX($C35:$Q35)</f>
        <v>0.22134402374585885</v>
      </c>
      <c r="CN40" s="83">
        <f t="shared" ref="CN40" si="303">CN39*MAX($C35:$Q35)</f>
        <v>0.22174108484200844</v>
      </c>
      <c r="CO40" s="83">
        <f t="shared" ref="CO40" si="304">CO39*MAX($C35:$Q35)</f>
        <v>0.2219779906199196</v>
      </c>
      <c r="CP40" s="83">
        <f t="shared" ref="CP40" si="305">CP39*MAX($C35:$Q35)</f>
        <v>0.22206634934632388</v>
      </c>
      <c r="CQ40" s="83">
        <f t="shared" ref="CQ40" si="306">CQ39*MAX($C35:$Q35)</f>
        <v>0.22201051075727785</v>
      </c>
      <c r="CR40" s="83">
        <f t="shared" ref="CR40" si="307">CR39*MAX($C35:$Q35)</f>
        <v>0.22180772474516014</v>
      </c>
      <c r="CS40" s="83">
        <f t="shared" ref="CS40" si="308">CS39*MAX($C35:$Q35)</f>
        <v>0.22144804076845068</v>
      </c>
      <c r="CT40" s="83">
        <f t="shared" ref="CT40" si="309">CT39*MAX($C35:$Q35)</f>
        <v>0.22091395139763459</v>
      </c>
      <c r="CU40" s="83">
        <f t="shared" ref="CU40" si="310">CU39*MAX($C35:$Q35)</f>
        <v>0.22017979386601721</v>
      </c>
      <c r="CV40" s="83">
        <f t="shared" ref="CV40" si="311">CV39*MAX($C35:$Q35)</f>
        <v>0.21921093970400077</v>
      </c>
      <c r="CW40" s="83">
        <f t="shared" ref="CW40" si="312">CW39*MAX($C35:$Q35)</f>
        <v>0.21796282922272234</v>
      </c>
      <c r="CX40" s="83">
        <f t="shared" ref="CX40" si="313">CX39*MAX($C35:$Q35)</f>
        <v>0.21637995017791564</v>
      </c>
      <c r="CY40" s="83">
        <f t="shared" ref="CY40" si="314">CY39*MAX($C35:$Q35)</f>
        <v>0.21439492411590763</v>
      </c>
      <c r="CZ40" s="83">
        <f t="shared" ref="CZ40" si="315">CZ39*MAX($C35:$Q35)</f>
        <v>0.21192795441971315</v>
      </c>
      <c r="DA40" s="83">
        <f t="shared" ref="DA40" si="316">DA39*MAX($C35:$Q35)</f>
        <v>0.20888700769268315</v>
      </c>
      <c r="DB40" s="83">
        <f t="shared" ref="DB40" si="317">DB39*MAX($C35:$Q35)</f>
        <v>0.20516923613999302</v>
      </c>
      <c r="DC40" s="83">
        <f t="shared" ref="DC40" si="318">DC39*MAX($C35:$Q35)</f>
        <v>0.20066427648685212</v>
      </c>
      <c r="DD40" s="83">
        <f t="shared" ref="DD40" si="319">DD39*MAX($C35:$Q35)</f>
        <v>0.19526012618846786</v>
      </c>
      <c r="DE40" s="83">
        <f t="shared" ref="DE40" si="320">DE39*MAX($C35:$Q35)</f>
        <v>0.18885221076324485</v>
      </c>
      <c r="DF40" s="83">
        <f t="shared" ref="DF40" si="321">DF39*MAX($C35:$Q35)</f>
        <v>0.18135589956584755</v>
      </c>
      <c r="DG40" s="83">
        <f t="shared" ref="DG40" si="322">DG39*MAX($C35:$Q35)</f>
        <v>0.17272199318860434</v>
      </c>
      <c r="DH40" s="83">
        <f t="shared" ref="DH40" si="323">DH39*MAX($C35:$Q35)</f>
        <v>0.16295357660947402</v>
      </c>
      <c r="DI40" s="83">
        <f t="shared" ref="DI40" si="324">DI39*MAX($C35:$Q35)</f>
        <v>0.15212129520994222</v>
      </c>
      <c r="DJ40" s="83">
        <f t="shared" ref="DJ40" si="325">DJ39*MAX($C35:$Q35)</f>
        <v>0.14037303870734025</v>
      </c>
      <c r="DK40" s="83">
        <f t="shared" ref="DK40" si="326">DK39*MAX($C35:$Q35)</f>
        <v>0.12793390039275299</v>
      </c>
      <c r="DL40" s="83">
        <f t="shared" ref="DL40" si="327">DL39*MAX($C35:$Q35)</f>
        <v>0.11509370655675245</v>
      </c>
      <c r="DM40" s="83">
        <f t="shared" ref="DM40" si="328">DM39*MAX($C35:$Q35)</f>
        <v>0.10218239195398818</v>
      </c>
      <c r="DN40" s="83">
        <f t="shared" ref="DN40" si="329">DN39*MAX($C35:$Q35)</f>
        <v>8.953714113845733E-2</v>
      </c>
      <c r="DO40" s="83">
        <f t="shared" ref="DO40" si="330">DO39*MAX($C35:$Q35)</f>
        <v>7.7467982478315281E-2</v>
      </c>
      <c r="DP40" s="83">
        <f t="shared" ref="DP40" si="331">DP39*MAX($C35:$Q35)</f>
        <v>6.6229064130555612E-2</v>
      </c>
      <c r="DQ40" s="83">
        <f t="shared" ref="DQ40" si="332">DQ39*MAX($C35:$Q35)</f>
        <v>5.6000881495032663E-2</v>
      </c>
      <c r="DR40" s="83">
        <f t="shared" ref="DR40" si="333">DR39*MAX($C35:$Q35)</f>
        <v>4.6885246875111544E-2</v>
      </c>
      <c r="DS40" s="83">
        <f t="shared" ref="DS40" si="334">DS39*MAX($C35:$Q35)</f>
        <v>3.8911376459813553E-2</v>
      </c>
      <c r="DT40" s="83">
        <f t="shared" ref="DT40" si="335">DT39*MAX($C35:$Q35)</f>
        <v>3.2049348167767666E-2</v>
      </c>
      <c r="DU40" s="83">
        <f t="shared" ref="DU40" si="336">DU39*MAX($C35:$Q35)</f>
        <v>2.6226708528672649E-2</v>
      </c>
      <c r="DV40" s="83">
        <f t="shared" ref="DV40" si="337">DV39*MAX($C35:$Q35)</f>
        <v>2.1344769831904156E-2</v>
      </c>
      <c r="DW40" s="83">
        <f t="shared" ref="DW40" si="338">DW39*MAX($C35:$Q35)</f>
        <v>1.7292439189471168E-2</v>
      </c>
      <c r="DX40" s="83">
        <f t="shared" ref="DX40" si="339">DX39*MAX($C35:$Q35)</f>
        <v>1.3956674539065805E-2</v>
      </c>
      <c r="DY40" s="83">
        <f t="shared" ref="DY40" si="340">DY39*MAX($C35:$Q35)</f>
        <v>1.1229567377278128E-2</v>
      </c>
      <c r="DZ40" s="83">
        <f t="shared" ref="DZ40" si="341">DZ39*MAX($C35:$Q35)</f>
        <v>9.0125546544686345E-3</v>
      </c>
      <c r="EA40" s="83">
        <f t="shared" ref="EA40" si="342">EA39*MAX($C35:$Q35)</f>
        <v>7.2184455223985658E-3</v>
      </c>
      <c r="EB40" s="83">
        <f t="shared" ref="EB40" si="343">EB39*MAX($C35:$Q35)</f>
        <v>5.7719329004962908E-3</v>
      </c>
      <c r="EC40" s="83">
        <f t="shared" ref="EC40" si="344">EC39*MAX($C35:$Q35)</f>
        <v>4.6091483854804865E-3</v>
      </c>
      <c r="ED40" s="83">
        <f t="shared" ref="ED40" si="345">ED39*MAX($C35:$Q35)</f>
        <v>3.6766805385888991E-3</v>
      </c>
      <c r="EE40" s="83">
        <f t="shared" ref="EE40" si="346">EE39*MAX($C35:$Q35)</f>
        <v>2.9303479994829914E-3</v>
      </c>
      <c r="EF40" s="83">
        <f t="shared" ref="EF40" si="347">EF39*MAX($C35:$Q35)</f>
        <v>2.3339151609699862E-3</v>
      </c>
      <c r="EG40" s="83">
        <f t="shared" ref="EG40" si="348">EG39*MAX($C35:$Q35)</f>
        <v>1.8578616967518187E-3</v>
      </c>
      <c r="EH40" s="88">
        <f>MAX(BE40:EG40)</f>
        <v>0.22206634934632388</v>
      </c>
    </row>
    <row r="57" spans="3:25" x14ac:dyDescent="0.25"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</row>
    <row r="58" spans="3:25" ht="15.75" thickBot="1" x14ac:dyDescent="0.3">
      <c r="W58" s="2" t="s">
        <v>25</v>
      </c>
    </row>
    <row r="59" spans="3:25" x14ac:dyDescent="0.25">
      <c r="D59" s="69"/>
      <c r="E59" s="77" t="s">
        <v>22</v>
      </c>
      <c r="F59" s="92" t="s">
        <v>18</v>
      </c>
      <c r="G59" s="93"/>
      <c r="H59" s="92" t="s">
        <v>19</v>
      </c>
      <c r="I59" s="93"/>
      <c r="J59" s="92" t="s">
        <v>24</v>
      </c>
      <c r="K59" s="93"/>
      <c r="W59" s="1" t="s">
        <v>26</v>
      </c>
    </row>
    <row r="60" spans="3:25" ht="15.75" thickBot="1" x14ac:dyDescent="0.3">
      <c r="D60" s="70"/>
      <c r="E60" s="15" t="s">
        <v>23</v>
      </c>
      <c r="F60" s="15" t="s">
        <v>20</v>
      </c>
      <c r="G60" s="20" t="s">
        <v>21</v>
      </c>
      <c r="H60" s="29" t="s">
        <v>20</v>
      </c>
      <c r="I60" s="20" t="s">
        <v>21</v>
      </c>
      <c r="J60" s="29" t="s">
        <v>20</v>
      </c>
      <c r="K60" s="20" t="s">
        <v>21</v>
      </c>
      <c r="W60" s="1" t="s">
        <v>27</v>
      </c>
    </row>
    <row r="61" spans="3:25" x14ac:dyDescent="0.25">
      <c r="D61" s="77" t="s">
        <v>5</v>
      </c>
      <c r="E61" s="69">
        <v>3.5</v>
      </c>
      <c r="F61" s="80">
        <v>5.3178380971791919</v>
      </c>
      <c r="G61" s="79">
        <v>5.1114173516940503E-2</v>
      </c>
      <c r="H61" s="78">
        <v>9.8508892264656964</v>
      </c>
      <c r="I61" s="79">
        <v>0.10248224135441661</v>
      </c>
      <c r="J61" s="78">
        <f>(F61+H61)/2</f>
        <v>7.5843636618224437</v>
      </c>
      <c r="K61" s="79">
        <f>SQRT(G61*G61 + I61*I61)</f>
        <v>0.11452191286974209</v>
      </c>
      <c r="L61" s="64"/>
      <c r="U61" s="53"/>
      <c r="V61" s="2"/>
      <c r="W61" s="1" t="s">
        <v>28</v>
      </c>
      <c r="X61" s="2"/>
      <c r="Y61" s="2"/>
    </row>
    <row r="62" spans="3:25" x14ac:dyDescent="0.25">
      <c r="D62" s="15" t="s">
        <v>8</v>
      </c>
      <c r="E62" s="70">
        <v>2.5</v>
      </c>
      <c r="F62" s="81">
        <v>5.3713221300096068</v>
      </c>
      <c r="G62" s="72">
        <v>3.1035564114145476E-2</v>
      </c>
      <c r="H62" s="71">
        <v>9.596478293375327</v>
      </c>
      <c r="I62" s="72">
        <v>8.7660064460419143E-2</v>
      </c>
      <c r="J62" s="71">
        <f t="shared" ref="J62:J64" si="349">(F62+H62)/2</f>
        <v>7.4839002116924664</v>
      </c>
      <c r="K62" s="72">
        <f t="shared" ref="K62:K64" si="350">SQRT(G62*G62 + I62*I62)</f>
        <v>9.2991898255106467E-2</v>
      </c>
      <c r="L62" s="64"/>
      <c r="W62" s="1" t="s">
        <v>29</v>
      </c>
    </row>
    <row r="63" spans="3:25" x14ac:dyDescent="0.25">
      <c r="D63" s="15" t="s">
        <v>9</v>
      </c>
      <c r="E63" s="70">
        <v>1.5</v>
      </c>
      <c r="F63" s="81">
        <v>5.4685187183561794</v>
      </c>
      <c r="G63" s="72">
        <v>3.988694897516417E-2</v>
      </c>
      <c r="H63" s="71">
        <v>9.4344547751785885</v>
      </c>
      <c r="I63" s="72">
        <v>9.1865062504742148E-2</v>
      </c>
      <c r="J63" s="71">
        <f t="shared" si="349"/>
        <v>7.451486746767384</v>
      </c>
      <c r="K63" s="72">
        <f t="shared" si="350"/>
        <v>0.10015067851765924</v>
      </c>
      <c r="L63" s="64"/>
    </row>
    <row r="64" spans="3:25" ht="15.75" thickBot="1" x14ac:dyDescent="0.3">
      <c r="D64" s="76" t="s">
        <v>10</v>
      </c>
      <c r="E64" s="73">
        <v>0.5</v>
      </c>
      <c r="F64" s="82">
        <v>5.5016771551470685</v>
      </c>
      <c r="G64" s="75">
        <v>5.3651446553012475E-2</v>
      </c>
      <c r="H64" s="74">
        <v>9.9207881833103357</v>
      </c>
      <c r="I64" s="75">
        <v>0.11113154520541575</v>
      </c>
      <c r="J64" s="74">
        <f t="shared" si="349"/>
        <v>7.7112326692287017</v>
      </c>
      <c r="K64" s="75">
        <f t="shared" si="350"/>
        <v>0.1234046111657669</v>
      </c>
      <c r="L64" s="64"/>
    </row>
    <row r="66" spans="5:6" x14ac:dyDescent="0.25">
      <c r="E66" s="84">
        <v>0</v>
      </c>
      <c r="F66" s="84">
        <v>7.4</v>
      </c>
    </row>
    <row r="67" spans="5:6" x14ac:dyDescent="0.25">
      <c r="E67" s="84">
        <v>4.5</v>
      </c>
      <c r="F67" s="84">
        <v>7.4</v>
      </c>
    </row>
  </sheetData>
  <mergeCells count="14">
    <mergeCell ref="C1:Q1"/>
    <mergeCell ref="Y1:AM1"/>
    <mergeCell ref="AO1:BC1"/>
    <mergeCell ref="AO2:BC2"/>
    <mergeCell ref="C2:Q2"/>
    <mergeCell ref="BE2:EG2"/>
    <mergeCell ref="F59:G59"/>
    <mergeCell ref="H59:I59"/>
    <mergeCell ref="J59:K59"/>
    <mergeCell ref="A5:A11"/>
    <mergeCell ref="A14:A20"/>
    <mergeCell ref="A23:A29"/>
    <mergeCell ref="A32:A38"/>
    <mergeCell ref="Y2:AM2"/>
  </mergeCells>
  <conditionalFormatting sqref="W32:W34 W23:W25 W14:W16 W5:W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a1(I)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2018-04-03T12:26:05Z</cp:lastPrinted>
  <dcterms:created xsi:type="dcterms:W3CDTF">2016-05-09T16:48:53Z</dcterms:created>
  <dcterms:modified xsi:type="dcterms:W3CDTF">2020-06-13T15:53:05Z</dcterms:modified>
</cp:coreProperties>
</file>